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drawings/drawing5.xml" ContentType="application/vnd.openxmlformats-officedocument.drawing+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charts/chart17.xml" ContentType="application/vnd.openxmlformats-officedocument.drawingml.chart+xml"/>
  <Override PartName="/xl/charts/style16.xml" ContentType="application/vnd.ms-office.chartstyle+xml"/>
  <Override PartName="/xl/charts/colors16.xml" ContentType="application/vnd.ms-office.chartcolorstyle+xml"/>
  <Override PartName="/xl/charts/chart18.xml" ContentType="application/vnd.openxmlformats-officedocument.drawingml.chart+xml"/>
  <Override PartName="/xl/charts/style17.xml" ContentType="application/vnd.ms-office.chartstyle+xml"/>
  <Override PartName="/xl/charts/colors17.xml" ContentType="application/vnd.ms-office.chartcolorstyle+xml"/>
  <Override PartName="/xl/charts/chart19.xml" ContentType="application/vnd.openxmlformats-officedocument.drawingml.chart+xml"/>
  <Override PartName="/xl/charts/style18.xml" ContentType="application/vnd.ms-office.chartstyle+xml"/>
  <Override PartName="/xl/charts/colors18.xml" ContentType="application/vnd.ms-office.chartcolorstyle+xml"/>
  <Override PartName="/xl/charts/chart20.xml" ContentType="application/vnd.openxmlformats-officedocument.drawingml.chart+xml"/>
  <Override PartName="/xl/charts/style19.xml" ContentType="application/vnd.ms-office.chartstyle+xml"/>
  <Override PartName="/xl/charts/colors19.xml" ContentType="application/vnd.ms-office.chartcolorstyle+xml"/>
  <Override PartName="/xl/charts/chart21.xml" ContentType="application/vnd.openxmlformats-officedocument.drawingml.chart+xml"/>
  <Override PartName="/xl/charts/style20.xml" ContentType="application/vnd.ms-office.chartstyle+xml"/>
  <Override PartName="/xl/charts/colors20.xml" ContentType="application/vnd.ms-office.chartcolorstyle+xml"/>
  <Override PartName="/xl/charts/chart22.xml" ContentType="application/vnd.openxmlformats-officedocument.drawingml.chart+xml"/>
  <Override PartName="/xl/charts/style21.xml" ContentType="application/vnd.ms-office.chartstyle+xml"/>
  <Override PartName="/xl/charts/colors21.xml" ContentType="application/vnd.ms-office.chartcolorstyle+xml"/>
  <Override PartName="/xl/charts/chart23.xml" ContentType="application/vnd.openxmlformats-officedocument.drawingml.chart+xml"/>
  <Override PartName="/xl/charts/style22.xml" ContentType="application/vnd.ms-office.chartstyle+xml"/>
  <Override PartName="/xl/charts/colors22.xml" ContentType="application/vnd.ms-office.chartcolorstyle+xml"/>
  <Override PartName="/xl/charts/chart24.xml" ContentType="application/vnd.openxmlformats-officedocument.drawingml.chart+xml"/>
  <Override PartName="/xl/charts/style23.xml" ContentType="application/vnd.ms-office.chartstyle+xml"/>
  <Override PartName="/xl/charts/colors23.xml" ContentType="application/vnd.ms-office.chartcolorstyle+xml"/>
  <Override PartName="/xl/charts/chart25.xml" ContentType="application/vnd.openxmlformats-officedocument.drawingml.chart+xml"/>
  <Override PartName="/xl/charts/style24.xml" ContentType="application/vnd.ms-office.chartstyle+xml"/>
  <Override PartName="/xl/charts/colors24.xml" ContentType="application/vnd.ms-office.chartcolorstyle+xml"/>
  <Override PartName="/xl/charts/chart26.xml" ContentType="application/vnd.openxmlformats-officedocument.drawingml.chart+xml"/>
  <Override PartName="/xl/charts/style25.xml" ContentType="application/vnd.ms-office.chartstyle+xml"/>
  <Override PartName="/xl/charts/colors25.xml" ContentType="application/vnd.ms-office.chartcolorstyle+xml"/>
  <Override PartName="/xl/charts/chart27.xml" ContentType="application/vnd.openxmlformats-officedocument.drawingml.chart+xml"/>
  <Override PartName="/xl/charts/style26.xml" ContentType="application/vnd.ms-office.chartstyle+xml"/>
  <Override PartName="/xl/charts/colors26.xml" ContentType="application/vnd.ms-office.chartcolorstyle+xml"/>
  <Override PartName="/xl/charts/chart28.xml" ContentType="application/vnd.openxmlformats-officedocument.drawingml.chart+xml"/>
  <Override PartName="/xl/charts/style27.xml" ContentType="application/vnd.ms-office.chartstyle+xml"/>
  <Override PartName="/xl/charts/colors27.xml" ContentType="application/vnd.ms-office.chartcolorstyle+xml"/>
  <Override PartName="/xl/charts/chart29.xml" ContentType="application/vnd.openxmlformats-officedocument.drawingml.chart+xml"/>
  <Override PartName="/xl/charts/style28.xml" ContentType="application/vnd.ms-office.chartstyle+xml"/>
  <Override PartName="/xl/charts/colors28.xml" ContentType="application/vnd.ms-office.chartcolorstyle+xml"/>
  <Override PartName="/xl/charts/chart30.xml" ContentType="application/vnd.openxmlformats-officedocument.drawingml.chart+xml"/>
  <Override PartName="/xl/charts/style29.xml" ContentType="application/vnd.ms-office.chartstyle+xml"/>
  <Override PartName="/xl/charts/colors29.xml" ContentType="application/vnd.ms-office.chartcolorstyle+xml"/>
  <Override PartName="/xl/charts/chart31.xml" ContentType="application/vnd.openxmlformats-officedocument.drawingml.chart+xml"/>
  <Override PartName="/xl/charts/style30.xml" ContentType="application/vnd.ms-office.chartstyle+xml"/>
  <Override PartName="/xl/charts/colors30.xml" ContentType="application/vnd.ms-office.chartcolorstyle+xml"/>
  <Override PartName="/xl/charts/chart32.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328" codeName="{DD97A8EA-9A9A-E61F-A557-7D5A7D7259CE}"/>
  <workbookPr filterPrivacy="1" codeName="ThisWorkbook" defaultThemeVersion="124226"/>
  <xr:revisionPtr revIDLastSave="0" documentId="13_ncr:1_{156E1C2B-7496-4142-988A-62F1E234A936}" xr6:coauthVersionLast="47" xr6:coauthVersionMax="47" xr10:uidLastSave="{00000000-0000-0000-0000-000000000000}"/>
  <bookViews>
    <workbookView xWindow="-103" yWindow="-103" windowWidth="22149" windowHeight="13200" firstSheet="5" activeTab="5" xr2:uid="{00000000-000D-0000-FFFF-FFFF00000000}"/>
  </bookViews>
  <sheets>
    <sheet name="Home" sheetId="6" state="hidden" r:id="rId1"/>
    <sheet name="Data Recording" sheetId="15" state="hidden" r:id="rId2"/>
    <sheet name="Composite scale" sheetId="20" state="hidden" r:id="rId3"/>
    <sheet name="Visulization" sheetId="22" state="hidden" r:id="rId4"/>
    <sheet name="Import" sheetId="21" state="hidden" r:id="rId5"/>
    <sheet name="Subgroups" sheetId="23" r:id="rId6"/>
    <sheet name="Result" sheetId="3" state="hidden" r:id="rId7"/>
    <sheet name="IRIS" sheetId="5" state="hidden" r:id="rId8"/>
    <sheet name="Help" sheetId="13" state="hidden" r:id="rId9"/>
    <sheet name="Sample" sheetId="18" state="hidden" r:id="rId10"/>
  </sheets>
  <functionGroups builtInGroupCount="19"/>
  <externalReferences>
    <externalReference r:id="rId11"/>
  </externalReferences>
  <definedNames>
    <definedName name="Clusters">Subgroups!$U$10</definedName>
    <definedName name="InputRange">Subgroups!$AQ$55</definedName>
    <definedName name="InputSheet">Subgroups!$AQ$54</definedName>
    <definedName name="MaxIt">Subgroups!$AQ$53</definedName>
    <definedName name="OutputRange">Subgroups!$AQ$57</definedName>
    <definedName name="OutputSheet">Subgroups!$AQ$56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8" i="15" l="1"/>
  <c r="AS68" i="23"/>
  <c r="AT68" i="23"/>
  <c r="AU68" i="23"/>
  <c r="AV68" i="23"/>
  <c r="AW68" i="23"/>
  <c r="AX68" i="23"/>
  <c r="AY68" i="23"/>
  <c r="AZ68" i="23"/>
  <c r="BA68" i="23"/>
  <c r="BB68" i="23"/>
  <c r="BE144" i="23"/>
  <c r="BD144" i="23"/>
  <c r="BB144" i="23"/>
  <c r="BA144" i="23"/>
  <c r="AZ144" i="23"/>
  <c r="AY144" i="23"/>
  <c r="AX144" i="23"/>
  <c r="AW144" i="23"/>
  <c r="AV144" i="23"/>
  <c r="AU144" i="23"/>
  <c r="AT144" i="23"/>
  <c r="AS144" i="23"/>
  <c r="BE140" i="23"/>
  <c r="BD140" i="23"/>
  <c r="BB140" i="23"/>
  <c r="BA140" i="23"/>
  <c r="AZ140" i="23"/>
  <c r="AY140" i="23"/>
  <c r="AX140" i="23"/>
  <c r="AW140" i="23"/>
  <c r="AV140" i="23"/>
  <c r="AU140" i="23"/>
  <c r="AT140" i="23"/>
  <c r="AS140" i="23"/>
  <c r="BE136" i="23"/>
  <c r="BD136" i="23"/>
  <c r="BB136" i="23"/>
  <c r="BA136" i="23"/>
  <c r="AZ136" i="23"/>
  <c r="AY136" i="23"/>
  <c r="AX136" i="23"/>
  <c r="AW136" i="23"/>
  <c r="AV136" i="23"/>
  <c r="AU136" i="23"/>
  <c r="AT136" i="23"/>
  <c r="AS136" i="23"/>
  <c r="BE132" i="23"/>
  <c r="BD132" i="23"/>
  <c r="BB132" i="23"/>
  <c r="BA132" i="23"/>
  <c r="AZ132" i="23"/>
  <c r="AY132" i="23"/>
  <c r="AX132" i="23"/>
  <c r="AW132" i="23"/>
  <c r="AV132" i="23"/>
  <c r="AU132" i="23"/>
  <c r="AT132" i="23"/>
  <c r="AS132" i="23"/>
  <c r="BE128" i="23"/>
  <c r="BD128" i="23"/>
  <c r="BB128" i="23"/>
  <c r="BA128" i="23"/>
  <c r="AZ128" i="23"/>
  <c r="AY128" i="23"/>
  <c r="AX128" i="23"/>
  <c r="AW128" i="23"/>
  <c r="AV128" i="23"/>
  <c r="AU128" i="23"/>
  <c r="AT128" i="23"/>
  <c r="AS128" i="23"/>
  <c r="BE124" i="23"/>
  <c r="BD124" i="23"/>
  <c r="BB124" i="23"/>
  <c r="BA124" i="23"/>
  <c r="AZ124" i="23"/>
  <c r="AY124" i="23"/>
  <c r="AX124" i="23"/>
  <c r="AW124" i="23"/>
  <c r="AV124" i="23"/>
  <c r="AU124" i="23"/>
  <c r="AT124" i="23"/>
  <c r="AS124" i="23"/>
  <c r="BE120" i="23"/>
  <c r="BD120" i="23"/>
  <c r="BB120" i="23"/>
  <c r="BA120" i="23"/>
  <c r="AZ120" i="23"/>
  <c r="AY120" i="23"/>
  <c r="AX120" i="23"/>
  <c r="AW120" i="23"/>
  <c r="AV120" i="23"/>
  <c r="AU120" i="23"/>
  <c r="AT120" i="23"/>
  <c r="AS120" i="23"/>
  <c r="BE116" i="23"/>
  <c r="BD116" i="23"/>
  <c r="BB116" i="23"/>
  <c r="BA116" i="23"/>
  <c r="AZ116" i="23"/>
  <c r="AY116" i="23"/>
  <c r="AX116" i="23"/>
  <c r="AW116" i="23"/>
  <c r="AV116" i="23"/>
  <c r="AU116" i="23"/>
  <c r="AT116" i="23"/>
  <c r="AS116" i="23"/>
  <c r="BE112" i="23"/>
  <c r="BD112" i="23"/>
  <c r="BB112" i="23"/>
  <c r="BA112" i="23"/>
  <c r="AZ112" i="23"/>
  <c r="AY112" i="23"/>
  <c r="AX112" i="23"/>
  <c r="AW112" i="23"/>
  <c r="AV112" i="23"/>
  <c r="AU112" i="23"/>
  <c r="AT112" i="23"/>
  <c r="AS112" i="23"/>
  <c r="BE108" i="23"/>
  <c r="BD108" i="23"/>
  <c r="BB108" i="23"/>
  <c r="BA108" i="23"/>
  <c r="AZ108" i="23"/>
  <c r="AY108" i="23"/>
  <c r="AX108" i="23"/>
  <c r="AW108" i="23"/>
  <c r="AV108" i="23"/>
  <c r="AU108" i="23"/>
  <c r="AT108" i="23"/>
  <c r="AS108" i="23"/>
  <c r="BE104" i="23"/>
  <c r="BD104" i="23"/>
  <c r="BB104" i="23"/>
  <c r="BA104" i="23"/>
  <c r="AZ104" i="23"/>
  <c r="AY104" i="23"/>
  <c r="AX104" i="23"/>
  <c r="AW104" i="23"/>
  <c r="AV104" i="23"/>
  <c r="AU104" i="23"/>
  <c r="AT104" i="23"/>
  <c r="AS104" i="23"/>
  <c r="BE100" i="23"/>
  <c r="BD100" i="23"/>
  <c r="BB100" i="23"/>
  <c r="BA100" i="23"/>
  <c r="AZ100" i="23"/>
  <c r="AY100" i="23"/>
  <c r="AX100" i="23"/>
  <c r="AW100" i="23"/>
  <c r="AV100" i="23"/>
  <c r="AU100" i="23"/>
  <c r="AT100" i="23"/>
  <c r="AS100" i="23"/>
  <c r="BE96" i="23"/>
  <c r="BD96" i="23"/>
  <c r="BB96" i="23"/>
  <c r="BA96" i="23"/>
  <c r="AZ96" i="23"/>
  <c r="AY96" i="23"/>
  <c r="AX96" i="23"/>
  <c r="AW96" i="23"/>
  <c r="AV96" i="23"/>
  <c r="AU96" i="23"/>
  <c r="AT96" i="23"/>
  <c r="AS96" i="23"/>
  <c r="BE92" i="23"/>
  <c r="BD92" i="23"/>
  <c r="BB92" i="23"/>
  <c r="BA92" i="23"/>
  <c r="AZ92" i="23"/>
  <c r="AY92" i="23"/>
  <c r="AX92" i="23"/>
  <c r="AW92" i="23"/>
  <c r="AV92" i="23"/>
  <c r="AU92" i="23"/>
  <c r="AT92" i="23"/>
  <c r="AS92" i="23"/>
  <c r="BE88" i="23"/>
  <c r="BD88" i="23"/>
  <c r="BB88" i="23"/>
  <c r="BA88" i="23"/>
  <c r="AZ88" i="23"/>
  <c r="AY88" i="23"/>
  <c r="AX88" i="23"/>
  <c r="AW88" i="23"/>
  <c r="AV88" i="23"/>
  <c r="AU88" i="23"/>
  <c r="AT88" i="23"/>
  <c r="AS88" i="23"/>
  <c r="BE84" i="23"/>
  <c r="BD84" i="23"/>
  <c r="BB84" i="23"/>
  <c r="BA84" i="23"/>
  <c r="AZ84" i="23"/>
  <c r="AY84" i="23"/>
  <c r="AX84" i="23"/>
  <c r="AW84" i="23"/>
  <c r="AV84" i="23"/>
  <c r="AU84" i="23"/>
  <c r="AT84" i="23"/>
  <c r="AS84" i="23"/>
  <c r="BE80" i="23"/>
  <c r="BD80" i="23"/>
  <c r="BB80" i="23"/>
  <c r="BA80" i="23"/>
  <c r="AZ80" i="23"/>
  <c r="AY80" i="23"/>
  <c r="AX80" i="23"/>
  <c r="AW80" i="23"/>
  <c r="AV80" i="23"/>
  <c r="AU80" i="23"/>
  <c r="AT80" i="23"/>
  <c r="AS80" i="23"/>
  <c r="BE76" i="23"/>
  <c r="BD76" i="23"/>
  <c r="BB76" i="23"/>
  <c r="BA76" i="23"/>
  <c r="AZ76" i="23"/>
  <c r="AY76" i="23"/>
  <c r="AX76" i="23"/>
  <c r="AW76" i="23"/>
  <c r="AV76" i="23"/>
  <c r="AU76" i="23"/>
  <c r="AT76" i="23"/>
  <c r="AS76" i="23"/>
  <c r="BE72" i="23"/>
  <c r="BD72" i="23"/>
  <c r="BB72" i="23"/>
  <c r="BA72" i="23"/>
  <c r="AZ72" i="23"/>
  <c r="AY72" i="23"/>
  <c r="AX72" i="23"/>
  <c r="AW72" i="23"/>
  <c r="AV72" i="23"/>
  <c r="AU72" i="23"/>
  <c r="AT72" i="23"/>
  <c r="AS72" i="23"/>
  <c r="BE68" i="23"/>
  <c r="BD68" i="23"/>
  <c r="Y26" i="23"/>
  <c r="Y25" i="23"/>
  <c r="Y24" i="23"/>
  <c r="AG65" i="21"/>
  <c r="AH65" i="21"/>
  <c r="AI65" i="21"/>
  <c r="AJ65" i="21"/>
  <c r="AK65" i="21"/>
  <c r="AL65" i="21"/>
  <c r="AM65" i="21"/>
  <c r="AN65" i="21"/>
  <c r="AA109" i="21"/>
  <c r="Z109" i="21"/>
  <c r="Y109" i="21"/>
  <c r="X109" i="21"/>
  <c r="W109" i="21"/>
  <c r="V109" i="21"/>
  <c r="U109" i="21"/>
  <c r="T109" i="21"/>
  <c r="S109" i="21"/>
  <c r="R109" i="21"/>
  <c r="AA108" i="21"/>
  <c r="Z108" i="21"/>
  <c r="Y108" i="21"/>
  <c r="X108" i="21"/>
  <c r="W108" i="21"/>
  <c r="V108" i="21"/>
  <c r="U108" i="21"/>
  <c r="T108" i="21"/>
  <c r="S108" i="21"/>
  <c r="R108" i="21"/>
  <c r="AA107" i="21"/>
  <c r="Z107" i="21"/>
  <c r="Y107" i="21"/>
  <c r="X107" i="21"/>
  <c r="W107" i="21"/>
  <c r="V107" i="21"/>
  <c r="U107" i="21"/>
  <c r="T107" i="21"/>
  <c r="S107" i="21"/>
  <c r="R107" i="21"/>
  <c r="AA106" i="21"/>
  <c r="Z106" i="21"/>
  <c r="Y106" i="21"/>
  <c r="X106" i="21"/>
  <c r="W106" i="21"/>
  <c r="V106" i="21"/>
  <c r="U106" i="21"/>
  <c r="T106" i="21"/>
  <c r="S106" i="21"/>
  <c r="R106" i="21"/>
  <c r="AA105" i="21"/>
  <c r="Z105" i="21"/>
  <c r="Y105" i="21"/>
  <c r="X105" i="21"/>
  <c r="W105" i="21"/>
  <c r="V105" i="21"/>
  <c r="U105" i="21"/>
  <c r="T105" i="21"/>
  <c r="S105" i="21"/>
  <c r="R105" i="21"/>
  <c r="AA104" i="21"/>
  <c r="Z104" i="21"/>
  <c r="Y104" i="21"/>
  <c r="X104" i="21"/>
  <c r="W104" i="21"/>
  <c r="V104" i="21"/>
  <c r="U104" i="21"/>
  <c r="T104" i="21"/>
  <c r="S104" i="21"/>
  <c r="R104" i="21"/>
  <c r="AA103" i="21"/>
  <c r="Z103" i="21"/>
  <c r="Y103" i="21"/>
  <c r="X103" i="21"/>
  <c r="W103" i="21"/>
  <c r="V103" i="21"/>
  <c r="U103" i="21"/>
  <c r="T103" i="21"/>
  <c r="S103" i="21"/>
  <c r="R103" i="21"/>
  <c r="AA102" i="21"/>
  <c r="Z102" i="21"/>
  <c r="Y102" i="21"/>
  <c r="X102" i="21"/>
  <c r="W102" i="21"/>
  <c r="V102" i="21"/>
  <c r="U102" i="21"/>
  <c r="T102" i="21"/>
  <c r="S102" i="21"/>
  <c r="R102" i="21"/>
  <c r="AA101" i="21"/>
  <c r="Z101" i="21"/>
  <c r="Y101" i="21"/>
  <c r="X101" i="21"/>
  <c r="W101" i="21"/>
  <c r="V101" i="21"/>
  <c r="U101" i="21"/>
  <c r="T101" i="21"/>
  <c r="S101" i="21"/>
  <c r="R101" i="21"/>
  <c r="AA100" i="21"/>
  <c r="Z100" i="21"/>
  <c r="Y100" i="21"/>
  <c r="X100" i="21"/>
  <c r="W100" i="21"/>
  <c r="V100" i="21"/>
  <c r="U100" i="21"/>
  <c r="T100" i="21"/>
  <c r="S100" i="21"/>
  <c r="R100" i="21"/>
  <c r="AA99" i="21"/>
  <c r="Z99" i="21"/>
  <c r="Y99" i="21"/>
  <c r="X99" i="21"/>
  <c r="W99" i="21"/>
  <c r="V99" i="21"/>
  <c r="U99" i="21"/>
  <c r="T99" i="21"/>
  <c r="S99" i="21"/>
  <c r="R99" i="21"/>
  <c r="AA98" i="21"/>
  <c r="Z98" i="21"/>
  <c r="Y98" i="21"/>
  <c r="X98" i="21"/>
  <c r="W98" i="21"/>
  <c r="V98" i="21"/>
  <c r="U98" i="21"/>
  <c r="T98" i="21"/>
  <c r="S98" i="21"/>
  <c r="R98" i="21"/>
  <c r="AA97" i="21"/>
  <c r="Z97" i="21"/>
  <c r="Y97" i="21"/>
  <c r="X97" i="21"/>
  <c r="W97" i="21"/>
  <c r="V97" i="21"/>
  <c r="U97" i="21"/>
  <c r="T97" i="21"/>
  <c r="S97" i="21"/>
  <c r="R97" i="21"/>
  <c r="AA96" i="21"/>
  <c r="Z96" i="21"/>
  <c r="Y96" i="21"/>
  <c r="X96" i="21"/>
  <c r="W96" i="21"/>
  <c r="V96" i="21"/>
  <c r="U96" i="21"/>
  <c r="T96" i="21"/>
  <c r="S96" i="21"/>
  <c r="R96" i="21"/>
  <c r="AA95" i="21"/>
  <c r="Z95" i="21"/>
  <c r="Y95" i="21"/>
  <c r="X95" i="21"/>
  <c r="W95" i="21"/>
  <c r="V95" i="21"/>
  <c r="U95" i="21"/>
  <c r="T95" i="21"/>
  <c r="S95" i="21"/>
  <c r="R95" i="21"/>
  <c r="AA94" i="21"/>
  <c r="Z94" i="21"/>
  <c r="Y94" i="21"/>
  <c r="X94" i="21"/>
  <c r="W94" i="21"/>
  <c r="V94" i="21"/>
  <c r="U94" i="21"/>
  <c r="T94" i="21"/>
  <c r="S94" i="21"/>
  <c r="R94" i="21"/>
  <c r="AA93" i="21"/>
  <c r="Z93" i="21"/>
  <c r="Y93" i="21"/>
  <c r="X93" i="21"/>
  <c r="W93" i="21"/>
  <c r="V93" i="21"/>
  <c r="U93" i="21"/>
  <c r="T93" i="21"/>
  <c r="S93" i="21"/>
  <c r="R93" i="21"/>
  <c r="AA92" i="21"/>
  <c r="Z92" i="21"/>
  <c r="Y92" i="21"/>
  <c r="X92" i="21"/>
  <c r="W92" i="21"/>
  <c r="V92" i="21"/>
  <c r="U92" i="21"/>
  <c r="T92" i="21"/>
  <c r="S92" i="21"/>
  <c r="R92" i="21"/>
  <c r="AA91" i="21"/>
  <c r="Z91" i="21"/>
  <c r="Y91" i="21"/>
  <c r="X91" i="21"/>
  <c r="W91" i="21"/>
  <c r="V91" i="21"/>
  <c r="U91" i="21"/>
  <c r="T91" i="21"/>
  <c r="S91" i="21"/>
  <c r="R91" i="21"/>
  <c r="AA90" i="21"/>
  <c r="Z90" i="21"/>
  <c r="Y90" i="21"/>
  <c r="X90" i="21"/>
  <c r="W90" i="21"/>
  <c r="V90" i="21"/>
  <c r="U90" i="21"/>
  <c r="T90" i="21"/>
  <c r="S90" i="21"/>
  <c r="R90" i="21"/>
  <c r="AA89" i="21"/>
  <c r="Z89" i="21"/>
  <c r="Y89" i="21"/>
  <c r="X89" i="21"/>
  <c r="W89" i="21"/>
  <c r="V89" i="21"/>
  <c r="U89" i="21"/>
  <c r="T89" i="21"/>
  <c r="S89" i="21"/>
  <c r="R89" i="21"/>
  <c r="AA88" i="21"/>
  <c r="Z88" i="21"/>
  <c r="Y88" i="21"/>
  <c r="X88" i="21"/>
  <c r="W88" i="21"/>
  <c r="V88" i="21"/>
  <c r="U88" i="21"/>
  <c r="T88" i="21"/>
  <c r="S88" i="21"/>
  <c r="R88" i="21"/>
  <c r="AA87" i="21"/>
  <c r="Z87" i="21"/>
  <c r="Y87" i="21"/>
  <c r="X87" i="21"/>
  <c r="W87" i="21"/>
  <c r="V87" i="21"/>
  <c r="U87" i="21"/>
  <c r="T87" i="21"/>
  <c r="S87" i="21"/>
  <c r="R87" i="21"/>
  <c r="AA86" i="21"/>
  <c r="Z86" i="21"/>
  <c r="Y86" i="21"/>
  <c r="X86" i="21"/>
  <c r="W86" i="21"/>
  <c r="V86" i="21"/>
  <c r="U86" i="21"/>
  <c r="T86" i="21"/>
  <c r="S86" i="21"/>
  <c r="R86" i="21"/>
  <c r="AA85" i="21"/>
  <c r="Z85" i="21"/>
  <c r="Y85" i="21"/>
  <c r="X85" i="21"/>
  <c r="W85" i="21"/>
  <c r="V85" i="21"/>
  <c r="U85" i="21"/>
  <c r="T85" i="21"/>
  <c r="S85" i="21"/>
  <c r="R85" i="21"/>
  <c r="AA84" i="21"/>
  <c r="Z84" i="21"/>
  <c r="Y84" i="21"/>
  <c r="X84" i="21"/>
  <c r="W84" i="21"/>
  <c r="V84" i="21"/>
  <c r="U84" i="21"/>
  <c r="T84" i="21"/>
  <c r="S84" i="21"/>
  <c r="R84" i="21"/>
  <c r="AA83" i="21"/>
  <c r="Z83" i="21"/>
  <c r="Y83" i="21"/>
  <c r="X83" i="21"/>
  <c r="W83" i="21"/>
  <c r="V83" i="21"/>
  <c r="U83" i="21"/>
  <c r="T83" i="21"/>
  <c r="S83" i="21"/>
  <c r="R83" i="21"/>
  <c r="AA82" i="21"/>
  <c r="Z82" i="21"/>
  <c r="Y82" i="21"/>
  <c r="X82" i="21"/>
  <c r="W82" i="21"/>
  <c r="V82" i="21"/>
  <c r="U82" i="21"/>
  <c r="T82" i="21"/>
  <c r="S82" i="21"/>
  <c r="R82" i="21"/>
  <c r="AA81" i="21"/>
  <c r="Z81" i="21"/>
  <c r="Y81" i="21"/>
  <c r="X81" i="21"/>
  <c r="W81" i="21"/>
  <c r="V81" i="21"/>
  <c r="U81" i="21"/>
  <c r="T81" i="21"/>
  <c r="S81" i="21"/>
  <c r="R81" i="21"/>
  <c r="AA80" i="21"/>
  <c r="Z80" i="21"/>
  <c r="Y80" i="21"/>
  <c r="X80" i="21"/>
  <c r="W80" i="21"/>
  <c r="V80" i="21"/>
  <c r="U80" i="21"/>
  <c r="T80" i="21"/>
  <c r="S80" i="21"/>
  <c r="R80" i="21"/>
  <c r="AA79" i="21"/>
  <c r="Z79" i="21"/>
  <c r="Y79" i="21"/>
  <c r="X79" i="21"/>
  <c r="W79" i="21"/>
  <c r="V79" i="21"/>
  <c r="U79" i="21"/>
  <c r="T79" i="21"/>
  <c r="S79" i="21"/>
  <c r="R79" i="21"/>
  <c r="AA78" i="21"/>
  <c r="Z78" i="21"/>
  <c r="Y78" i="21"/>
  <c r="X78" i="21"/>
  <c r="W78" i="21"/>
  <c r="V78" i="21"/>
  <c r="U78" i="21"/>
  <c r="T78" i="21"/>
  <c r="S78" i="21"/>
  <c r="R78" i="21"/>
  <c r="AA77" i="21"/>
  <c r="Z77" i="21"/>
  <c r="Y77" i="21"/>
  <c r="X77" i="21"/>
  <c r="W77" i="21"/>
  <c r="V77" i="21"/>
  <c r="U77" i="21"/>
  <c r="T77" i="21"/>
  <c r="S77" i="21"/>
  <c r="R77" i="21"/>
  <c r="AA76" i="21"/>
  <c r="Z76" i="21"/>
  <c r="Y76" i="21"/>
  <c r="X76" i="21"/>
  <c r="W76" i="21"/>
  <c r="V76" i="21"/>
  <c r="U76" i="21"/>
  <c r="T76" i="21"/>
  <c r="S76" i="21"/>
  <c r="R76" i="21"/>
  <c r="AA75" i="21"/>
  <c r="Z75" i="21"/>
  <c r="Y75" i="21"/>
  <c r="X75" i="21"/>
  <c r="W75" i="21"/>
  <c r="V75" i="21"/>
  <c r="U75" i="21"/>
  <c r="T75" i="21"/>
  <c r="S75" i="21"/>
  <c r="R75" i="21"/>
  <c r="AA74" i="21"/>
  <c r="Z74" i="21"/>
  <c r="Y74" i="21"/>
  <c r="X74" i="21"/>
  <c r="W74" i="21"/>
  <c r="V74" i="21"/>
  <c r="U74" i="21"/>
  <c r="T74" i="21"/>
  <c r="S74" i="21"/>
  <c r="R74" i="21"/>
  <c r="AA73" i="21"/>
  <c r="Z73" i="21"/>
  <c r="Y73" i="21"/>
  <c r="X73" i="21"/>
  <c r="W73" i="21"/>
  <c r="V73" i="21"/>
  <c r="U73" i="21"/>
  <c r="T73" i="21"/>
  <c r="S73" i="21"/>
  <c r="R73" i="21"/>
  <c r="AA72" i="21"/>
  <c r="Z72" i="21"/>
  <c r="Y72" i="21"/>
  <c r="X72" i="21"/>
  <c r="W72" i="21"/>
  <c r="V72" i="21"/>
  <c r="U72" i="21"/>
  <c r="T72" i="21"/>
  <c r="S72" i="21"/>
  <c r="R72" i="21"/>
  <c r="AA71" i="21"/>
  <c r="Z71" i="21"/>
  <c r="Y71" i="21"/>
  <c r="X71" i="21"/>
  <c r="W71" i="21"/>
  <c r="V71" i="21"/>
  <c r="U71" i="21"/>
  <c r="T71" i="21"/>
  <c r="S71" i="21"/>
  <c r="R71" i="21"/>
  <c r="AA70" i="21"/>
  <c r="Z70" i="21"/>
  <c r="Y70" i="21"/>
  <c r="X70" i="21"/>
  <c r="W70" i="21"/>
  <c r="V70" i="21"/>
  <c r="U70" i="21"/>
  <c r="T70" i="21"/>
  <c r="S70" i="21"/>
  <c r="R70" i="21"/>
  <c r="AA69" i="21"/>
  <c r="Z69" i="21"/>
  <c r="Y69" i="21"/>
  <c r="X69" i="21"/>
  <c r="W69" i="21"/>
  <c r="V69" i="21"/>
  <c r="U69" i="21"/>
  <c r="T69" i="21"/>
  <c r="S69" i="21"/>
  <c r="R69" i="21"/>
  <c r="AA68" i="21"/>
  <c r="Z68" i="21"/>
  <c r="Y68" i="21"/>
  <c r="X68" i="21"/>
  <c r="W68" i="21"/>
  <c r="V68" i="21"/>
  <c r="U68" i="21"/>
  <c r="T68" i="21"/>
  <c r="S68" i="21"/>
  <c r="R68" i="21"/>
  <c r="AA67" i="21"/>
  <c r="Z67" i="21"/>
  <c r="Y67" i="21"/>
  <c r="X67" i="21"/>
  <c r="W67" i="21"/>
  <c r="V67" i="21"/>
  <c r="U67" i="21"/>
  <c r="T67" i="21"/>
  <c r="S67" i="21"/>
  <c r="R67" i="21"/>
  <c r="AA66" i="21"/>
  <c r="Z66" i="21"/>
  <c r="Y66" i="21"/>
  <c r="X66" i="21"/>
  <c r="W66" i="21"/>
  <c r="V66" i="21"/>
  <c r="U66" i="21"/>
  <c r="T66" i="21"/>
  <c r="S66" i="21"/>
  <c r="R66" i="21"/>
  <c r="AQ65" i="21"/>
  <c r="AA65" i="21"/>
  <c r="Z65" i="21"/>
  <c r="Y65" i="21"/>
  <c r="X65" i="21"/>
  <c r="W65" i="21"/>
  <c r="V65" i="21"/>
  <c r="U65" i="21"/>
  <c r="T65" i="21"/>
  <c r="S65" i="21"/>
  <c r="R65" i="21"/>
  <c r="AA64" i="21"/>
  <c r="Z64" i="21"/>
  <c r="Y64" i="21"/>
  <c r="X64" i="21"/>
  <c r="W64" i="21"/>
  <c r="V64" i="21"/>
  <c r="U64" i="21"/>
  <c r="T64" i="21"/>
  <c r="S64" i="21"/>
  <c r="R64" i="21"/>
  <c r="AA63" i="21"/>
  <c r="Z63" i="21"/>
  <c r="Y63" i="21"/>
  <c r="X63" i="21"/>
  <c r="W63" i="21"/>
  <c r="V63" i="21"/>
  <c r="U63" i="21"/>
  <c r="T63" i="21"/>
  <c r="S63" i="21"/>
  <c r="R63" i="21"/>
  <c r="AA62" i="21"/>
  <c r="Z62" i="21"/>
  <c r="Y62" i="21"/>
  <c r="X62" i="21"/>
  <c r="W62" i="21"/>
  <c r="V62" i="21"/>
  <c r="U62" i="21"/>
  <c r="T62" i="21"/>
  <c r="S62" i="21"/>
  <c r="R62" i="21"/>
  <c r="AA61" i="21"/>
  <c r="Z61" i="21"/>
  <c r="Y61" i="21"/>
  <c r="X61" i="21"/>
  <c r="W61" i="21"/>
  <c r="V61" i="21"/>
  <c r="U61" i="21"/>
  <c r="T61" i="21"/>
  <c r="S61" i="21"/>
  <c r="R61" i="21"/>
  <c r="AA60" i="21"/>
  <c r="Z60" i="21"/>
  <c r="Y60" i="21"/>
  <c r="X60" i="21"/>
  <c r="W60" i="21"/>
  <c r="V60" i="21"/>
  <c r="U60" i="21"/>
  <c r="T60" i="21"/>
  <c r="S60" i="21"/>
  <c r="R60" i="21"/>
  <c r="AA59" i="21"/>
  <c r="Z59" i="21"/>
  <c r="Y59" i="21"/>
  <c r="X59" i="21"/>
  <c r="W59" i="21"/>
  <c r="V59" i="21"/>
  <c r="U59" i="21"/>
  <c r="T59" i="21"/>
  <c r="S59" i="21"/>
  <c r="R59" i="21"/>
  <c r="AA58" i="21"/>
  <c r="Z58" i="21"/>
  <c r="Y58" i="21"/>
  <c r="X58" i="21"/>
  <c r="W58" i="21"/>
  <c r="V58" i="21"/>
  <c r="U58" i="21"/>
  <c r="T58" i="21"/>
  <c r="S58" i="21"/>
  <c r="R58" i="21"/>
  <c r="AA57" i="21"/>
  <c r="Z57" i="21"/>
  <c r="Y57" i="21"/>
  <c r="X57" i="21"/>
  <c r="W57" i="21"/>
  <c r="V57" i="21"/>
  <c r="U57" i="21"/>
  <c r="T57" i="21"/>
  <c r="S57" i="21"/>
  <c r="R57" i="21"/>
  <c r="AA56" i="21"/>
  <c r="Z56" i="21"/>
  <c r="Y56" i="21"/>
  <c r="X56" i="21"/>
  <c r="W56" i="21"/>
  <c r="V56" i="21"/>
  <c r="U56" i="21"/>
  <c r="T56" i="21"/>
  <c r="S56" i="21"/>
  <c r="R56" i="21"/>
  <c r="AA55" i="21"/>
  <c r="Z55" i="21"/>
  <c r="Y55" i="21"/>
  <c r="X55" i="21"/>
  <c r="W55" i="21"/>
  <c r="V55" i="21"/>
  <c r="U55" i="21"/>
  <c r="T55" i="21"/>
  <c r="S55" i="21"/>
  <c r="R55" i="21"/>
  <c r="AA54" i="21"/>
  <c r="Z54" i="21"/>
  <c r="Y54" i="21"/>
  <c r="X54" i="21"/>
  <c r="W54" i="21"/>
  <c r="V54" i="21"/>
  <c r="U54" i="21"/>
  <c r="T54" i="21"/>
  <c r="S54" i="21"/>
  <c r="R54" i="21"/>
  <c r="AA53" i="21"/>
  <c r="Z53" i="21"/>
  <c r="Y53" i="21"/>
  <c r="X53" i="21"/>
  <c r="W53" i="21"/>
  <c r="V53" i="21"/>
  <c r="U53" i="21"/>
  <c r="T53" i="21"/>
  <c r="S53" i="21"/>
  <c r="R53" i="21"/>
  <c r="AA52" i="21"/>
  <c r="Z52" i="21"/>
  <c r="Y52" i="21"/>
  <c r="X52" i="21"/>
  <c r="W52" i="21"/>
  <c r="V52" i="21"/>
  <c r="U52" i="21"/>
  <c r="T52" i="21"/>
  <c r="S52" i="21"/>
  <c r="R52" i="21"/>
  <c r="AA51" i="21"/>
  <c r="Z51" i="21"/>
  <c r="Y51" i="21"/>
  <c r="X51" i="21"/>
  <c r="W51" i="21"/>
  <c r="V51" i="21"/>
  <c r="U51" i="21"/>
  <c r="T51" i="21"/>
  <c r="S51" i="21"/>
  <c r="R51" i="21"/>
  <c r="AA50" i="21"/>
  <c r="Z50" i="21"/>
  <c r="Y50" i="21"/>
  <c r="X50" i="21"/>
  <c r="W50" i="21"/>
  <c r="V50" i="21"/>
  <c r="U50" i="21"/>
  <c r="T50" i="21"/>
  <c r="S50" i="21"/>
  <c r="R50" i="21"/>
  <c r="AA49" i="21"/>
  <c r="Z49" i="21"/>
  <c r="Y49" i="21"/>
  <c r="X49" i="21"/>
  <c r="W49" i="21"/>
  <c r="V49" i="21"/>
  <c r="U49" i="21"/>
  <c r="T49" i="21"/>
  <c r="S49" i="21"/>
  <c r="R49" i="21"/>
  <c r="AA48" i="21"/>
  <c r="Z48" i="21"/>
  <c r="Y48" i="21"/>
  <c r="X48" i="21"/>
  <c r="W48" i="21"/>
  <c r="V48" i="21"/>
  <c r="U48" i="21"/>
  <c r="T48" i="21"/>
  <c r="S48" i="21"/>
  <c r="R48" i="21"/>
  <c r="AA47" i="21"/>
  <c r="Z47" i="21"/>
  <c r="Y47" i="21"/>
  <c r="X47" i="21"/>
  <c r="W47" i="21"/>
  <c r="V47" i="21"/>
  <c r="U47" i="21"/>
  <c r="T47" i="21"/>
  <c r="S47" i="21"/>
  <c r="R47" i="21"/>
  <c r="AA46" i="21"/>
  <c r="Z46" i="21"/>
  <c r="Y46" i="21"/>
  <c r="X46" i="21"/>
  <c r="W46" i="21"/>
  <c r="V46" i="21"/>
  <c r="U46" i="21"/>
  <c r="T46" i="21"/>
  <c r="S46" i="21"/>
  <c r="R46" i="21"/>
  <c r="AA45" i="21"/>
  <c r="Z45" i="21"/>
  <c r="Y45" i="21"/>
  <c r="X45" i="21"/>
  <c r="W45" i="21"/>
  <c r="V45" i="21"/>
  <c r="U45" i="21"/>
  <c r="T45" i="21"/>
  <c r="S45" i="21"/>
  <c r="R45" i="21"/>
  <c r="AA44" i="21"/>
  <c r="Z44" i="21"/>
  <c r="Y44" i="21"/>
  <c r="X44" i="21"/>
  <c r="W44" i="21"/>
  <c r="V44" i="21"/>
  <c r="U44" i="21"/>
  <c r="T44" i="21"/>
  <c r="S44" i="21"/>
  <c r="R44" i="21"/>
  <c r="AA43" i="21"/>
  <c r="Z43" i="21"/>
  <c r="Y43" i="21"/>
  <c r="X43" i="21"/>
  <c r="W43" i="21"/>
  <c r="V43" i="21"/>
  <c r="U43" i="21"/>
  <c r="T43" i="21"/>
  <c r="S43" i="21"/>
  <c r="R43" i="21"/>
  <c r="AA42" i="21"/>
  <c r="Z42" i="21"/>
  <c r="Y42" i="21"/>
  <c r="X42" i="21"/>
  <c r="W42" i="21"/>
  <c r="V42" i="21"/>
  <c r="U42" i="21"/>
  <c r="T42" i="21"/>
  <c r="S42" i="21"/>
  <c r="R42" i="21"/>
  <c r="AA41" i="21"/>
  <c r="Z41" i="21"/>
  <c r="Y41" i="21"/>
  <c r="X41" i="21"/>
  <c r="W41" i="21"/>
  <c r="V41" i="21"/>
  <c r="U41" i="21"/>
  <c r="T41" i="21"/>
  <c r="S41" i="21"/>
  <c r="R41" i="21"/>
  <c r="AA40" i="21"/>
  <c r="Z40" i="21"/>
  <c r="Y40" i="21"/>
  <c r="X40" i="21"/>
  <c r="W40" i="21"/>
  <c r="V40" i="21"/>
  <c r="U40" i="21"/>
  <c r="T40" i="21"/>
  <c r="S40" i="21"/>
  <c r="R40" i="21"/>
  <c r="AA39" i="21"/>
  <c r="Z39" i="21"/>
  <c r="Y39" i="21"/>
  <c r="X39" i="21"/>
  <c r="W39" i="21"/>
  <c r="V39" i="21"/>
  <c r="U39" i="21"/>
  <c r="T39" i="21"/>
  <c r="S39" i="21"/>
  <c r="R39" i="21"/>
  <c r="AA38" i="21"/>
  <c r="Z38" i="21"/>
  <c r="Y38" i="21"/>
  <c r="X38" i="21"/>
  <c r="W38" i="21"/>
  <c r="V38" i="21"/>
  <c r="U38" i="21"/>
  <c r="T38" i="21"/>
  <c r="S38" i="21"/>
  <c r="R38" i="21"/>
  <c r="AA37" i="21"/>
  <c r="Z37" i="21"/>
  <c r="Y37" i="21"/>
  <c r="X37" i="21"/>
  <c r="W37" i="21"/>
  <c r="V37" i="21"/>
  <c r="U37" i="21"/>
  <c r="T37" i="21"/>
  <c r="S37" i="21"/>
  <c r="R37" i="21"/>
  <c r="AA36" i="21"/>
  <c r="Z36" i="21"/>
  <c r="Y36" i="21"/>
  <c r="X36" i="21"/>
  <c r="W36" i="21"/>
  <c r="V36" i="21"/>
  <c r="U36" i="21"/>
  <c r="T36" i="21"/>
  <c r="S36" i="21"/>
  <c r="R36" i="21"/>
  <c r="AA35" i="21"/>
  <c r="Z35" i="21"/>
  <c r="Y35" i="21"/>
  <c r="X35" i="21"/>
  <c r="W35" i="21"/>
  <c r="V35" i="21"/>
  <c r="U35" i="21"/>
  <c r="T35" i="21"/>
  <c r="S35" i="21"/>
  <c r="R35" i="21"/>
  <c r="AA34" i="21"/>
  <c r="Z34" i="21"/>
  <c r="Y34" i="21"/>
  <c r="X34" i="21"/>
  <c r="W34" i="21"/>
  <c r="V34" i="21"/>
  <c r="U34" i="21"/>
  <c r="T34" i="21"/>
  <c r="S34" i="21"/>
  <c r="R34" i="21"/>
  <c r="AA33" i="21"/>
  <c r="Z33" i="21"/>
  <c r="Y33" i="21"/>
  <c r="X33" i="21"/>
  <c r="W33" i="21"/>
  <c r="V33" i="21"/>
  <c r="U33" i="21"/>
  <c r="T33" i="21"/>
  <c r="S33" i="21"/>
  <c r="R33" i="21"/>
  <c r="AA32" i="21"/>
  <c r="Z32" i="21"/>
  <c r="Y32" i="21"/>
  <c r="X32" i="21"/>
  <c r="W32" i="21"/>
  <c r="V32" i="21"/>
  <c r="U32" i="21"/>
  <c r="T32" i="21"/>
  <c r="S32" i="21"/>
  <c r="R32" i="21"/>
  <c r="AA31" i="21"/>
  <c r="Z31" i="21"/>
  <c r="Y31" i="21"/>
  <c r="X31" i="21"/>
  <c r="W31" i="21"/>
  <c r="V31" i="21"/>
  <c r="U31" i="21"/>
  <c r="T31" i="21"/>
  <c r="S31" i="21"/>
  <c r="R31" i="21"/>
  <c r="AA30" i="21"/>
  <c r="Z30" i="21"/>
  <c r="Y30" i="21"/>
  <c r="X30" i="21"/>
  <c r="W30" i="21"/>
  <c r="V30" i="21"/>
  <c r="U30" i="21"/>
  <c r="T30" i="21"/>
  <c r="S30" i="21"/>
  <c r="R30" i="21"/>
  <c r="AA29" i="21"/>
  <c r="Z29" i="21"/>
  <c r="Y29" i="21"/>
  <c r="X29" i="21"/>
  <c r="W29" i="21"/>
  <c r="V29" i="21"/>
  <c r="U29" i="21"/>
  <c r="T29" i="21"/>
  <c r="S29" i="21"/>
  <c r="R29" i="21"/>
  <c r="AA28" i="21"/>
  <c r="Z28" i="21"/>
  <c r="Y28" i="21"/>
  <c r="X28" i="21"/>
  <c r="W28" i="21"/>
  <c r="V28" i="21"/>
  <c r="U28" i="21"/>
  <c r="T28" i="21"/>
  <c r="S28" i="21"/>
  <c r="R28" i="21"/>
  <c r="AA27" i="21"/>
  <c r="Z27" i="21"/>
  <c r="Y27" i="21"/>
  <c r="X27" i="21"/>
  <c r="W27" i="21"/>
  <c r="V27" i="21"/>
  <c r="U27" i="21"/>
  <c r="T27" i="21"/>
  <c r="S27" i="21"/>
  <c r="R27" i="21"/>
  <c r="AA26" i="21"/>
  <c r="Z26" i="21"/>
  <c r="Y26" i="21"/>
  <c r="X26" i="21"/>
  <c r="W26" i="21"/>
  <c r="V26" i="21"/>
  <c r="U26" i="21"/>
  <c r="T26" i="21"/>
  <c r="S26" i="21"/>
  <c r="R26" i="21"/>
  <c r="AA25" i="21"/>
  <c r="Z25" i="21"/>
  <c r="Y25" i="21"/>
  <c r="X25" i="21"/>
  <c r="W25" i="21"/>
  <c r="V25" i="21"/>
  <c r="U25" i="21"/>
  <c r="T25" i="21"/>
  <c r="S25" i="21"/>
  <c r="R25" i="21"/>
  <c r="AA24" i="21"/>
  <c r="Z24" i="21"/>
  <c r="Y24" i="21"/>
  <c r="X24" i="21"/>
  <c r="W24" i="21"/>
  <c r="V24" i="21"/>
  <c r="U24" i="21"/>
  <c r="T24" i="21"/>
  <c r="S24" i="21"/>
  <c r="R24" i="21"/>
  <c r="AA23" i="21"/>
  <c r="Z23" i="21"/>
  <c r="Y23" i="21"/>
  <c r="X23" i="21"/>
  <c r="W23" i="21"/>
  <c r="V23" i="21"/>
  <c r="U23" i="21"/>
  <c r="T23" i="21"/>
  <c r="S23" i="21"/>
  <c r="R23" i="21"/>
  <c r="AA22" i="21"/>
  <c r="Z22" i="21"/>
  <c r="Y22" i="21"/>
  <c r="X22" i="21"/>
  <c r="W22" i="21"/>
  <c r="V22" i="21"/>
  <c r="U22" i="21"/>
  <c r="T22" i="21"/>
  <c r="S22" i="21"/>
  <c r="R22" i="21"/>
  <c r="AA21" i="21"/>
  <c r="Z21" i="21"/>
  <c r="Y21" i="21"/>
  <c r="X21" i="21"/>
  <c r="W21" i="21"/>
  <c r="V21" i="21"/>
  <c r="U21" i="21"/>
  <c r="T21" i="21"/>
  <c r="S21" i="21"/>
  <c r="R21" i="21"/>
  <c r="AA20" i="21"/>
  <c r="Z20" i="21"/>
  <c r="Y20" i="21"/>
  <c r="X20" i="21"/>
  <c r="W20" i="21"/>
  <c r="V20" i="21"/>
  <c r="U20" i="21"/>
  <c r="T20" i="21"/>
  <c r="S20" i="21"/>
  <c r="R20" i="21"/>
  <c r="AA19" i="21"/>
  <c r="Z19" i="21"/>
  <c r="Y19" i="21"/>
  <c r="X19" i="21"/>
  <c r="W19" i="21"/>
  <c r="V19" i="21"/>
  <c r="U19" i="21"/>
  <c r="T19" i="21"/>
  <c r="S19" i="21"/>
  <c r="R19" i="21"/>
  <c r="AA18" i="21"/>
  <c r="Z18" i="21"/>
  <c r="Y18" i="21"/>
  <c r="X18" i="21"/>
  <c r="W18" i="21"/>
  <c r="V18" i="21"/>
  <c r="U18" i="21"/>
  <c r="T18" i="21"/>
  <c r="S18" i="21"/>
  <c r="R18" i="21"/>
  <c r="AA17" i="21"/>
  <c r="Z17" i="21"/>
  <c r="Y17" i="21"/>
  <c r="X17" i="21"/>
  <c r="W17" i="21"/>
  <c r="V17" i="21"/>
  <c r="U17" i="21"/>
  <c r="T17" i="21"/>
  <c r="S17" i="21"/>
  <c r="R17" i="21"/>
  <c r="AA16" i="21"/>
  <c r="Z16" i="21"/>
  <c r="Y16" i="21"/>
  <c r="X16" i="21"/>
  <c r="W16" i="21"/>
  <c r="V16" i="21"/>
  <c r="U16" i="21"/>
  <c r="T16" i="21"/>
  <c r="S16" i="21"/>
  <c r="R16" i="21"/>
  <c r="AA15" i="21"/>
  <c r="Z15" i="21"/>
  <c r="Y15" i="21"/>
  <c r="X15" i="21"/>
  <c r="W15" i="21"/>
  <c r="V15" i="21"/>
  <c r="U15" i="21"/>
  <c r="T15" i="21"/>
  <c r="S15" i="21"/>
  <c r="R15" i="21"/>
  <c r="AA14" i="21"/>
  <c r="Z14" i="21"/>
  <c r="Y14" i="21"/>
  <c r="X14" i="21"/>
  <c r="W14" i="21"/>
  <c r="V14" i="21"/>
  <c r="U14" i="21"/>
  <c r="T14" i="21"/>
  <c r="S14" i="21"/>
  <c r="R14" i="21"/>
  <c r="AA13" i="21"/>
  <c r="Z13" i="21"/>
  <c r="Y13" i="21"/>
  <c r="X13" i="21"/>
  <c r="W13" i="21"/>
  <c r="V13" i="21"/>
  <c r="U13" i="21"/>
  <c r="T13" i="21"/>
  <c r="S13" i="21"/>
  <c r="R13" i="21"/>
  <c r="AA12" i="21"/>
  <c r="Z12" i="21"/>
  <c r="Y12" i="21"/>
  <c r="X12" i="21"/>
  <c r="W12" i="21"/>
  <c r="V12" i="21"/>
  <c r="U12" i="21"/>
  <c r="T12" i="21"/>
  <c r="S12" i="21"/>
  <c r="R12" i="21"/>
  <c r="AA11" i="21"/>
  <c r="Z11" i="21"/>
  <c r="AM78" i="21" s="1"/>
  <c r="AI100" i="21" s="1"/>
  <c r="Y11" i="21"/>
  <c r="AL78" i="21" s="1"/>
  <c r="AI99" i="21" s="1"/>
  <c r="X11" i="21"/>
  <c r="W11" i="21"/>
  <c r="V11" i="21"/>
  <c r="U11" i="21"/>
  <c r="T11" i="21"/>
  <c r="S11" i="21"/>
  <c r="R11" i="21"/>
  <c r="AA10" i="21"/>
  <c r="Z10" i="21"/>
  <c r="Y10" i="21"/>
  <c r="X10" i="21"/>
  <c r="W10" i="21"/>
  <c r="V10" i="21"/>
  <c r="U10" i="21"/>
  <c r="T10" i="21"/>
  <c r="S10" i="21"/>
  <c r="R10" i="21"/>
  <c r="AA9" i="21"/>
  <c r="Z9" i="21"/>
  <c r="AY69" i="21" s="1"/>
  <c r="Y9" i="21"/>
  <c r="X9" i="21"/>
  <c r="W9" i="21"/>
  <c r="V9" i="21"/>
  <c r="U9" i="21"/>
  <c r="T9" i="21"/>
  <c r="S9" i="21"/>
  <c r="R9" i="21"/>
  <c r="H9" i="20"/>
  <c r="B56" i="15"/>
  <c r="R57" i="15"/>
  <c r="Q57" i="15"/>
  <c r="P57" i="15"/>
  <c r="O57" i="15"/>
  <c r="N57" i="15"/>
  <c r="M57" i="15"/>
  <c r="L57" i="15"/>
  <c r="K57" i="15"/>
  <c r="J57" i="15"/>
  <c r="I57" i="15"/>
  <c r="Z24" i="15"/>
  <c r="X24" i="15"/>
  <c r="V24" i="15"/>
  <c r="T24" i="15"/>
  <c r="R24" i="15"/>
  <c r="P24" i="15"/>
  <c r="N24" i="15"/>
  <c r="L24" i="15"/>
  <c r="J24" i="15"/>
  <c r="H24" i="15"/>
  <c r="BH76" i="23" l="1"/>
  <c r="BH92" i="23"/>
  <c r="BH108" i="23"/>
  <c r="BH140" i="23"/>
  <c r="AT69" i="21"/>
  <c r="AQ69" i="21"/>
  <c r="AH83" i="21"/>
  <c r="AN95" i="21" s="1"/>
  <c r="AJ75" i="21"/>
  <c r="AF97" i="21" s="1"/>
  <c r="AK77" i="21"/>
  <c r="AH98" i="21" s="1"/>
  <c r="AK75" i="21"/>
  <c r="AF98" i="21" s="1"/>
  <c r="AL77" i="21"/>
  <c r="AH99" i="21" s="1"/>
  <c r="AE81" i="21"/>
  <c r="AL92" i="21" s="1"/>
  <c r="AR69" i="21"/>
  <c r="AK78" i="21"/>
  <c r="AI98" i="21" s="1"/>
  <c r="AI76" i="21"/>
  <c r="AG96" i="21" s="1"/>
  <c r="AU69" i="21"/>
  <c r="AN82" i="21"/>
  <c r="AM101" i="21" s="1"/>
  <c r="AL75" i="21"/>
  <c r="AF99" i="21" s="1"/>
  <c r="AL80" i="21"/>
  <c r="AK99" i="21" s="1"/>
  <c r="AJ82" i="21"/>
  <c r="AM97" i="21" s="1"/>
  <c r="AZ69" i="21"/>
  <c r="AK80" i="21"/>
  <c r="AK98" i="21" s="1"/>
  <c r="AM75" i="21"/>
  <c r="AF100" i="21" s="1"/>
  <c r="AI80" i="21"/>
  <c r="AK96" i="21" s="1"/>
  <c r="AX69" i="21"/>
  <c r="AW69" i="21"/>
  <c r="AV69" i="21"/>
  <c r="BH72" i="23"/>
  <c r="AM77" i="21"/>
  <c r="AH100" i="21" s="1"/>
  <c r="AG74" i="21"/>
  <c r="AM80" i="21"/>
  <c r="AK100" i="21" s="1"/>
  <c r="AS69" i="21"/>
  <c r="AF81" i="21"/>
  <c r="AL93" i="21" s="1"/>
  <c r="AF78" i="21"/>
  <c r="AI93" i="21" s="1"/>
  <c r="AH80" i="21"/>
  <c r="AK95" i="21" s="1"/>
  <c r="AH78" i="21"/>
  <c r="AI95" i="21" s="1"/>
  <c r="AG83" i="21"/>
  <c r="AN94" i="21" s="1"/>
  <c r="AH76" i="21"/>
  <c r="AG95" i="21" s="1"/>
  <c r="AI79" i="21"/>
  <c r="AJ96" i="21" s="1"/>
  <c r="AE76" i="21"/>
  <c r="AG92" i="21" s="1"/>
  <c r="AG78" i="21"/>
  <c r="AI94" i="21" s="1"/>
  <c r="AF79" i="21"/>
  <c r="AJ93" i="21" s="1"/>
  <c r="AI74" i="21"/>
  <c r="AE96" i="21" s="1"/>
  <c r="AJ78" i="21"/>
  <c r="AI97" i="21" s="1"/>
  <c r="BH88" i="23"/>
  <c r="BH68" i="23"/>
  <c r="AQ55" i="23"/>
  <c r="BH100" i="23"/>
  <c r="BH116" i="23"/>
  <c r="BH132" i="23"/>
  <c r="BF68" i="23"/>
  <c r="BH80" i="23"/>
  <c r="BH96" i="23"/>
  <c r="BH128" i="23"/>
  <c r="BH144" i="23"/>
  <c r="BH120" i="23"/>
  <c r="BH136" i="23"/>
  <c r="BF104" i="23"/>
  <c r="BF112" i="23"/>
  <c r="BF128" i="23"/>
  <c r="BF144" i="23"/>
  <c r="BF92" i="23"/>
  <c r="BF88" i="23"/>
  <c r="BF100" i="23"/>
  <c r="BF140" i="23"/>
  <c r="BF108" i="23"/>
  <c r="BF136" i="23"/>
  <c r="BF72" i="23"/>
  <c r="BF84" i="23"/>
  <c r="BH112" i="23"/>
  <c r="BF120" i="23"/>
  <c r="BF76" i="23"/>
  <c r="BH104" i="23"/>
  <c r="BH84" i="23"/>
  <c r="BF124" i="23"/>
  <c r="BF80" i="23"/>
  <c r="BF96" i="23"/>
  <c r="BH124" i="23"/>
  <c r="BF116" i="23"/>
  <c r="BF132" i="23"/>
  <c r="AE94" i="21"/>
  <c r="AN77" i="21"/>
  <c r="AH101" i="21" s="1"/>
  <c r="AF76" i="21"/>
  <c r="AG93" i="21" s="1"/>
  <c r="AJ80" i="21"/>
  <c r="AK97" i="21" s="1"/>
  <c r="AE83" i="21"/>
  <c r="AN92" i="21" s="1"/>
  <c r="AJ76" i="21"/>
  <c r="AG97" i="21" s="1"/>
  <c r="AE79" i="21"/>
  <c r="AJ92" i="21" s="1"/>
  <c r="AJ83" i="21"/>
  <c r="AN97" i="21" s="1"/>
  <c r="AJ74" i="21"/>
  <c r="AL76" i="21"/>
  <c r="AG99" i="21" s="1"/>
  <c r="AG79" i="21"/>
  <c r="AJ94" i="21" s="1"/>
  <c r="AH79" i="21"/>
  <c r="AJ95" i="21" s="1"/>
  <c r="AL83" i="21"/>
  <c r="AN99" i="21" s="1"/>
  <c r="AL74" i="21"/>
  <c r="AM74" i="21"/>
  <c r="AF75" i="21"/>
  <c r="AF93" i="21" s="1"/>
  <c r="AH77" i="21"/>
  <c r="AH95" i="21" s="1"/>
  <c r="AJ79" i="21"/>
  <c r="AJ97" i="21" s="1"/>
  <c r="AL81" i="21"/>
  <c r="AL99" i="21" s="1"/>
  <c r="AE82" i="21"/>
  <c r="AM92" i="21" s="1"/>
  <c r="AN83" i="21"/>
  <c r="AN101" i="21" s="1"/>
  <c r="AL82" i="21"/>
  <c r="AM99" i="21" s="1"/>
  <c r="AF83" i="21"/>
  <c r="AN93" i="21" s="1"/>
  <c r="AH74" i="21"/>
  <c r="AI83" i="21"/>
  <c r="AN96" i="21" s="1"/>
  <c r="AK76" i="21"/>
  <c r="AG98" i="21" s="1"/>
  <c r="AE77" i="21"/>
  <c r="AH92" i="21" s="1"/>
  <c r="AI81" i="21"/>
  <c r="AL96" i="21" s="1"/>
  <c r="AJ81" i="21"/>
  <c r="AL97" i="21" s="1"/>
  <c r="AR65" i="21"/>
  <c r="AU65" i="21" s="1"/>
  <c r="AN74" i="21"/>
  <c r="AG75" i="21"/>
  <c r="AF94" i="21" s="1"/>
  <c r="AI77" i="21"/>
  <c r="AH96" i="21" s="1"/>
  <c r="AK79" i="21"/>
  <c r="AJ98" i="21" s="1"/>
  <c r="AM81" i="21"/>
  <c r="AL100" i="21" s="1"/>
  <c r="AF82" i="21"/>
  <c r="AM93" i="21" s="1"/>
  <c r="AK82" i="21"/>
  <c r="AM98" i="21" s="1"/>
  <c r="AE74" i="21"/>
  <c r="AI78" i="21"/>
  <c r="AI96" i="21" s="1"/>
  <c r="AM82" i="21"/>
  <c r="AM100" i="21" s="1"/>
  <c r="AN80" i="21"/>
  <c r="AK101" i="21" s="1"/>
  <c r="AN78" i="21"/>
  <c r="AI101" i="21" s="1"/>
  <c r="AF77" i="21"/>
  <c r="AH93" i="21" s="1"/>
  <c r="AH75" i="21"/>
  <c r="AF95" i="21" s="1"/>
  <c r="AJ77" i="21"/>
  <c r="AH97" i="21" s="1"/>
  <c r="AL79" i="21"/>
  <c r="AJ99" i="21" s="1"/>
  <c r="AE80" i="21"/>
  <c r="AK92" i="21" s="1"/>
  <c r="AN81" i="21"/>
  <c r="AL101" i="21" s="1"/>
  <c r="AG82" i="21"/>
  <c r="AM94" i="21" s="1"/>
  <c r="AN75" i="21"/>
  <c r="AF101" i="21" s="1"/>
  <c r="AG81" i="21"/>
  <c r="AL94" i="21" s="1"/>
  <c r="AN76" i="21"/>
  <c r="AG101" i="21" s="1"/>
  <c r="AM83" i="21"/>
  <c r="AN100" i="21" s="1"/>
  <c r="AI75" i="21"/>
  <c r="AF96" i="21" s="1"/>
  <c r="AM79" i="21"/>
  <c r="AJ100" i="21" s="1"/>
  <c r="AF80" i="21"/>
  <c r="AK93" i="21" s="1"/>
  <c r="AH82" i="21"/>
  <c r="AM95" i="21" s="1"/>
  <c r="AH81" i="21"/>
  <c r="AL95" i="21" s="1"/>
  <c r="AK83" i="21"/>
  <c r="AN98" i="21" s="1"/>
  <c r="AK74" i="21"/>
  <c r="AM76" i="21"/>
  <c r="AG100" i="21" s="1"/>
  <c r="AE75" i="21"/>
  <c r="AF92" i="21" s="1"/>
  <c r="AG77" i="21"/>
  <c r="AH94" i="21" s="1"/>
  <c r="AK81" i="21"/>
  <c r="AL98" i="21" s="1"/>
  <c r="AE78" i="21"/>
  <c r="AI92" i="21" s="1"/>
  <c r="AN79" i="21"/>
  <c r="AJ101" i="21" s="1"/>
  <c r="AG80" i="21"/>
  <c r="AK94" i="21" s="1"/>
  <c r="AI82" i="21"/>
  <c r="AM96" i="21" s="1"/>
  <c r="AG76" i="21"/>
  <c r="AG94" i="21" s="1"/>
  <c r="AF74" i="21"/>
  <c r="BK108" i="23" l="1"/>
  <c r="BL108" i="23" s="1"/>
  <c r="BM108" i="23" s="1"/>
  <c r="BB55" i="23" s="1"/>
  <c r="BK140" i="23"/>
  <c r="BL140" i="23" s="1"/>
  <c r="BM140" i="23" s="1"/>
  <c r="BJ55" i="23" s="1"/>
  <c r="BK100" i="23"/>
  <c r="BL100" i="23" s="1"/>
  <c r="BM100" i="23" s="1"/>
  <c r="AZ55" i="23" s="1"/>
  <c r="BK92" i="23"/>
  <c r="BL92" i="23" s="1"/>
  <c r="BM92" i="23" s="1"/>
  <c r="AX55" i="23" s="1"/>
  <c r="BK128" i="23"/>
  <c r="BL128" i="23" s="1"/>
  <c r="BM128" i="23" s="1"/>
  <c r="BG55" i="23" s="1"/>
  <c r="BK112" i="23"/>
  <c r="BL112" i="23" s="1"/>
  <c r="BM112" i="23" s="1"/>
  <c r="BC55" i="23" s="1"/>
  <c r="BK88" i="23"/>
  <c r="BL88" i="23" s="1"/>
  <c r="BM88" i="23" s="1"/>
  <c r="AW55" i="23" s="1"/>
  <c r="BK104" i="23"/>
  <c r="BL104" i="23" s="1"/>
  <c r="BM104" i="23" s="1"/>
  <c r="Y29" i="23" s="1"/>
  <c r="BK76" i="23"/>
  <c r="BL76" i="23" s="1"/>
  <c r="BM76" i="23" s="1"/>
  <c r="Y22" i="23" s="1"/>
  <c r="BK72" i="23"/>
  <c r="BL72" i="23" s="1"/>
  <c r="BM72" i="23" s="1"/>
  <c r="AL102" i="21"/>
  <c r="BK68" i="23"/>
  <c r="BL68" i="23" s="1"/>
  <c r="BM68" i="23" s="1"/>
  <c r="AG102" i="21"/>
  <c r="BK132" i="23"/>
  <c r="BL132" i="23" s="1"/>
  <c r="BM132" i="23" s="1"/>
  <c r="BH55" i="23" s="1"/>
  <c r="BK116" i="23"/>
  <c r="BL116" i="23" s="1"/>
  <c r="BM116" i="23" s="1"/>
  <c r="BD55" i="23" s="1"/>
  <c r="BK144" i="23"/>
  <c r="BL144" i="23" s="1"/>
  <c r="BM144" i="23" s="1"/>
  <c r="BK55" i="23" s="1"/>
  <c r="BK120" i="23"/>
  <c r="BL120" i="23" s="1"/>
  <c r="BM120" i="23" s="1"/>
  <c r="BE55" i="23" s="1"/>
  <c r="BK124" i="23"/>
  <c r="BL124" i="23" s="1"/>
  <c r="BM124" i="23" s="1"/>
  <c r="BF55" i="23" s="1"/>
  <c r="BK136" i="23"/>
  <c r="BL136" i="23" s="1"/>
  <c r="BM136" i="23" s="1"/>
  <c r="BI55" i="23" s="1"/>
  <c r="BK96" i="23"/>
  <c r="BL96" i="23" s="1"/>
  <c r="BM96" i="23" s="1"/>
  <c r="AY55" i="23" s="1"/>
  <c r="BK80" i="23"/>
  <c r="BL80" i="23" s="1"/>
  <c r="BM80" i="23" s="1"/>
  <c r="BK84" i="23"/>
  <c r="BL84" i="23" s="1"/>
  <c r="BM84" i="23" s="1"/>
  <c r="AV55" i="23" s="1"/>
  <c r="AE84" i="21"/>
  <c r="AQ74" i="21"/>
  <c r="AE92" i="21"/>
  <c r="AQ79" i="21"/>
  <c r="AJ84" i="21"/>
  <c r="AE97" i="21"/>
  <c r="AO97" i="21" s="1"/>
  <c r="AI102" i="21"/>
  <c r="AM102" i="21"/>
  <c r="AF102" i="21"/>
  <c r="AN102" i="21"/>
  <c r="AE95" i="21"/>
  <c r="AO95" i="21" s="1"/>
  <c r="AH84" i="21"/>
  <c r="AQ77" i="21"/>
  <c r="AG84" i="21"/>
  <c r="AO94" i="21"/>
  <c r="AS65" i="21"/>
  <c r="AE88" i="21" s="1"/>
  <c r="AF88" i="21" s="1"/>
  <c r="AG88" i="21" s="1"/>
  <c r="H20" i="20" s="1"/>
  <c r="AJ102" i="21"/>
  <c r="AK84" i="21"/>
  <c r="AE98" i="21"/>
  <c r="AO98" i="21" s="1"/>
  <c r="AQ80" i="21"/>
  <c r="AK102" i="21"/>
  <c r="AE101" i="21"/>
  <c r="AO101" i="21" s="1"/>
  <c r="AQ83" i="21"/>
  <c r="AN84" i="21"/>
  <c r="AO96" i="21"/>
  <c r="AI84" i="21"/>
  <c r="AH102" i="21"/>
  <c r="AQ78" i="21"/>
  <c r="AQ82" i="21"/>
  <c r="AM84" i="21"/>
  <c r="AE100" i="21"/>
  <c r="AO100" i="21" s="1"/>
  <c r="AL84" i="21"/>
  <c r="AQ81" i="21"/>
  <c r="AE99" i="21"/>
  <c r="AO99" i="21" s="1"/>
  <c r="AQ75" i="21"/>
  <c r="AE93" i="21"/>
  <c r="AO93" i="21" s="1"/>
  <c r="AF84" i="21"/>
  <c r="AQ76" i="21"/>
  <c r="AS55" i="23" l="1"/>
  <c r="Y21" i="23"/>
  <c r="AR55" i="23"/>
  <c r="Y20" i="23"/>
  <c r="Y28" i="23"/>
  <c r="BA55" i="23"/>
  <c r="AT55" i="23"/>
  <c r="Y27" i="23"/>
  <c r="Y23" i="23"/>
  <c r="AU55" i="23"/>
  <c r="AS76" i="21"/>
  <c r="AR76" i="21"/>
  <c r="L15" i="20" s="1"/>
  <c r="AS80" i="21"/>
  <c r="AR80" i="21"/>
  <c r="T15" i="20" s="1"/>
  <c r="AS79" i="21"/>
  <c r="AR79" i="21"/>
  <c r="R15" i="20" s="1"/>
  <c r="AR82" i="21"/>
  <c r="X15" i="20" s="1"/>
  <c r="AS82" i="21"/>
  <c r="AO92" i="21"/>
  <c r="AE102" i="21"/>
  <c r="AS78" i="21"/>
  <c r="AR78" i="21"/>
  <c r="P15" i="20" s="1"/>
  <c r="AS74" i="21"/>
  <c r="AR74" i="21"/>
  <c r="AS77" i="21"/>
  <c r="AR77" i="21"/>
  <c r="N15" i="20" s="1"/>
  <c r="AS83" i="21"/>
  <c r="AR83" i="21"/>
  <c r="Z15" i="20" s="1"/>
  <c r="AR75" i="21"/>
  <c r="J15" i="20" s="1"/>
  <c r="AS75" i="21"/>
  <c r="AS81" i="21"/>
  <c r="AR81" i="21"/>
  <c r="V15" i="20" s="1"/>
  <c r="AS84" i="21" l="1"/>
  <c r="X9" i="20"/>
  <c r="N9" i="20"/>
  <c r="V9" i="20"/>
  <c r="T9" i="20"/>
  <c r="AF65" i="21"/>
  <c r="R9" i="20"/>
  <c r="AE65" i="21"/>
  <c r="P9" i="20"/>
  <c r="L9" i="20"/>
  <c r="J9" i="20"/>
  <c r="H15" i="20"/>
  <c r="Z9" i="20"/>
  <c r="AR8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H8" authorId="0" shapeId="0" xr:uid="{E2F787FD-A05F-40E9-B057-0F424685888F}">
      <text>
        <r>
          <rPr>
            <b/>
            <sz val="9"/>
            <color indexed="81"/>
            <rFont val="Tahoma"/>
            <family val="2"/>
          </rPr>
          <t>"Power" refers to a stakeholder's influence or authority over a project or its objectives. It's about their ability to get others to do things they otherwise wouldn't. On a scale of 0-5 prioritize stakeholder engagement based on their “power”.</t>
        </r>
      </text>
    </comment>
    <comment ref="I8" authorId="0" shapeId="0" xr:uid="{8C567F0D-AF16-498D-A2B0-F49A6DE25F6E}">
      <text>
        <r>
          <rPr>
            <b/>
            <sz val="9"/>
            <color indexed="81"/>
            <rFont val="Tahoma"/>
            <family val="2"/>
          </rPr>
          <t>"interest" refers to the level of concern or engagement a stakeholder has towards a project or its outcomes. It reflects how much a stakeholder cares about the project's success or failure and the potential impact it will have on them. On a scale of 0 to 5 rank, the stakeholders interest.</t>
        </r>
      </text>
    </comment>
    <comment ref="J8" authorId="0" shapeId="0" xr:uid="{7643FD91-9706-4234-899E-7D3DFD8FDEC7}">
      <text>
        <r>
          <rPr>
            <b/>
            <sz val="9"/>
            <color indexed="81"/>
            <rFont val="Tahoma"/>
            <family val="2"/>
          </rPr>
          <t>Legitimacy refers to the perception that a stakeholder's actions, claims, or involvement are desirable, appropriate, and acceptable within a socially constructed system of norms, values, and beliefs. It's about how much a stakeholder's involvement is seen as fitting and right, based on societal expectations.</t>
        </r>
      </text>
    </comment>
    <comment ref="K8" authorId="0" shapeId="0" xr:uid="{370580EA-6159-4398-B03D-DC2B76E4ABAA}">
      <text>
        <r>
          <rPr>
            <b/>
            <sz val="9"/>
            <color indexed="81"/>
            <rFont val="Tahoma"/>
            <family val="2"/>
          </rPr>
          <t>"urgency" refers to the degree to which a stakeholder's claims require immediate attention, considering both time-sensitivity and the criticality of the issue. Essentially, it highlights how quickly a stakeholder needs a response to their concerns or expectations.</t>
        </r>
      </text>
    </comment>
  </commentList>
</comments>
</file>

<file path=xl/sharedStrings.xml><?xml version="1.0" encoding="utf-8"?>
<sst xmlns="http://schemas.openxmlformats.org/spreadsheetml/2006/main" count="1126" uniqueCount="325">
  <si>
    <t>Data Sheet</t>
  </si>
  <si>
    <t>Data Range</t>
  </si>
  <si>
    <t>Output Sheet</t>
  </si>
  <si>
    <t>Output Range</t>
  </si>
  <si>
    <t>Cluster</t>
  </si>
  <si>
    <t>Clusters</t>
  </si>
  <si>
    <t>Iris-setosa</t>
  </si>
  <si>
    <t>Iris-versicolor</t>
  </si>
  <si>
    <t>Iris-virginica</t>
  </si>
  <si>
    <t>Setup Values</t>
  </si>
  <si>
    <t>Number of clusters</t>
  </si>
  <si>
    <t>Max Iterations</t>
  </si>
  <si>
    <t>Your data here</t>
  </si>
  <si>
    <t>Known group</t>
  </si>
  <si>
    <t>Help</t>
  </si>
  <si>
    <t>About the tool</t>
  </si>
  <si>
    <t>Developed at</t>
  </si>
  <si>
    <t>Designers frequently employ item ratings but often struggle with analyzing large datasets. This tool employs Kendall's W to compute inter-rater reliability, indicating agreement ratios and generating composite sequences. Additionally, it applies K-means clustering to discern user subgroups, simplifying qualitative analysis for group characterization. All statistical data is visually represented for clarity and ease of comprehension.</t>
  </si>
  <si>
    <t>Design for Sustainability (DfS) is an emerging and significant domain. It is also one of the prime needs of the hour considering the burden of human consumption and production. In order to create sustainable human consumption and production, a complete revamp of the consumption structure is needed. Through the SSI Lab, the Department of Design at IIT Guwahati, aims to foray into this domain.</t>
  </si>
  <si>
    <t>Home</t>
  </si>
  <si>
    <t>Getting Started</t>
  </si>
  <si>
    <t>Data recording</t>
  </si>
  <si>
    <r>
      <t xml:space="preserve">This tool has been designed to function seamlessly within Microsoft Excel. It is particularly sensitive to the naming and arrangement of sheets within Microsoft Excel workbook. To ensure a smooth and error-free experience while using this tool, it is  highly advised to rely on the provided left-side navigation menu. This menu has been specifically structured to guide through the tool's various functionalities and interfaces and help to maintain the correct sheet naming and positioning, ensuring accurate and efficient results.
</t>
    </r>
    <r>
      <rPr>
        <b/>
        <sz val="11"/>
        <color theme="1"/>
        <rFont val="Calibri"/>
        <family val="2"/>
        <scheme val="minor"/>
      </rPr>
      <t>For better experience make this full screen (view&gt; unckeck formulabar and headings and colapse the ribbon.)</t>
    </r>
  </si>
  <si>
    <t>Composite scale</t>
  </si>
  <si>
    <t>Visulization</t>
  </si>
  <si>
    <t>Import data</t>
  </si>
  <si>
    <t>Subgroups</t>
  </si>
  <si>
    <t xml:space="preserve">Avoid using the sheets tabs </t>
  </si>
  <si>
    <r>
      <rPr>
        <sz val="11"/>
        <color rgb="FFC00000"/>
        <rFont val="Calibri"/>
        <family val="2"/>
        <scheme val="minor"/>
      </rPr>
      <t>NOTE:</t>
    </r>
    <r>
      <rPr>
        <sz val="11"/>
        <color theme="0"/>
        <rFont val="Calibri"/>
        <family val="2"/>
        <scheme val="minor"/>
      </rPr>
      <t xml:space="preserve"> Processing for the toolkit below this line. </t>
    </r>
  </si>
  <si>
    <t>Please refrain from any actions below this point. If you can see this line, it's possible that the panes were unfrozen. To refreeze, zoom out until both cell A1 and F51 are visible together, then select cell F51. Go to View &gt; Window &gt; Freeze Panes &gt; Freeze Panes. Return to cell A1 and then set the zoom back to 100%.</t>
  </si>
  <si>
    <t>CSS</t>
  </si>
  <si>
    <t>Need text</t>
  </si>
  <si>
    <t>Change text</t>
  </si>
  <si>
    <t>Import area</t>
  </si>
  <si>
    <t>Shift + Ctrl/Cmd + scroll down to see an example
Shift + Ctrl/Cmd + scroll up to go back</t>
  </si>
  <si>
    <r>
      <t>Please fill the boxes below with images you'd like participants to rank. You can add images by navigating to</t>
    </r>
    <r>
      <rPr>
        <b/>
        <sz val="14"/>
        <color theme="1"/>
        <rFont val="Calibri"/>
        <family val="2"/>
        <scheme val="minor"/>
      </rPr>
      <t xml:space="preserve"> </t>
    </r>
    <r>
      <rPr>
        <b/>
        <u/>
        <sz val="14"/>
        <color theme="1"/>
        <rFont val="Calibri"/>
        <family val="2"/>
        <scheme val="minor"/>
      </rPr>
      <t>Insert &gt; Picture</t>
    </r>
    <r>
      <rPr>
        <sz val="14"/>
        <color theme="1"/>
        <rFont val="Calibri"/>
        <family val="2"/>
        <scheme val="minor"/>
      </rPr>
      <t xml:space="preserve"> and placing the images within the designated boxes. Once you're done, kindly ask participants to </t>
    </r>
    <r>
      <rPr>
        <b/>
        <u/>
        <sz val="14"/>
        <color theme="1"/>
        <rFont val="Calibri"/>
        <family val="2"/>
        <scheme val="minor"/>
      </rPr>
      <t>rank the images by assigning the corresponding image numbers to the ranks</t>
    </r>
    <r>
      <rPr>
        <sz val="14"/>
        <color theme="1"/>
        <rFont val="Calibri"/>
        <family val="2"/>
        <scheme val="minor"/>
      </rPr>
      <t xml:space="preserve"> they believe the images deserve. If you already possess a ratings, please proceed to import the data in the navigation section. Maximum participant for this tool is limited to 100 participants.</t>
    </r>
  </si>
  <si>
    <t>Image1</t>
  </si>
  <si>
    <t>Image2</t>
  </si>
  <si>
    <t>Image3</t>
  </si>
  <si>
    <t>Image4</t>
  </si>
  <si>
    <t>Image5</t>
  </si>
  <si>
    <t>Image6</t>
  </si>
  <si>
    <t>Image7</t>
  </si>
  <si>
    <t>Image8</t>
  </si>
  <si>
    <t>Image9</t>
  </si>
  <si>
    <t>Image10</t>
  </si>
  <si>
    <r>
      <t xml:space="preserve">! NOTE: </t>
    </r>
    <r>
      <rPr>
        <sz val="11"/>
        <color theme="1"/>
        <rFont val="Calibri"/>
        <family val="2"/>
        <scheme val="minor"/>
      </rPr>
      <t>The image numbers are for reference only and do not imply any particular order or ranking.</t>
    </r>
  </si>
  <si>
    <t>Ranking area</t>
  </si>
  <si>
    <t>Rank 1</t>
  </si>
  <si>
    <t>Rank 2</t>
  </si>
  <si>
    <t>Rank 3</t>
  </si>
  <si>
    <t>Rank 4</t>
  </si>
  <si>
    <t>Rank 5</t>
  </si>
  <si>
    <t>Rank 6</t>
  </si>
  <si>
    <t>Rank 7</t>
  </si>
  <si>
    <t>Rank 8</t>
  </si>
  <si>
    <t>Rank 9</t>
  </si>
  <si>
    <t>Rank 10</t>
  </si>
  <si>
    <t>In boxes above, match images to ranks. Avoid duplicate assignments. Click 'Submit' after.</t>
  </si>
  <si>
    <t>Already have daya?</t>
  </si>
  <si>
    <t>In case data has already been collected it can be imported in this tool, head towards the import section from the navigation bar at the left</t>
  </si>
  <si>
    <t>submit button</t>
  </si>
  <si>
    <t>temporary data storage</t>
  </si>
  <si>
    <t xml:space="preserve">Submit </t>
  </si>
  <si>
    <t>cell entry</t>
  </si>
  <si>
    <t>! NOTE: Yellow scale indicates a tie, where two items have received the same rank. Please refer to the scale below to identify the repetition.</t>
  </si>
  <si>
    <t>Image 1</t>
  </si>
  <si>
    <t>Image 2</t>
  </si>
  <si>
    <t>Image 3</t>
  </si>
  <si>
    <t>Image 4</t>
  </si>
  <si>
    <t>Image 5</t>
  </si>
  <si>
    <t>Image 6</t>
  </si>
  <si>
    <t>Image 7</t>
  </si>
  <si>
    <t>Image 8</t>
  </si>
  <si>
    <t>Image 9</t>
  </si>
  <si>
    <t>Image 10</t>
  </si>
  <si>
    <t>Agreement ratio = W value</t>
  </si>
  <si>
    <t>Inference from W</t>
  </si>
  <si>
    <t>%</t>
  </si>
  <si>
    <t>W &lt; 10</t>
  </si>
  <si>
    <t>Subgroup representation is minimal since the collected data primarily consists of random responses and the composite scale might not be appropriate.</t>
  </si>
  <si>
    <t>10 &lt; W &lt; 50</t>
  </si>
  <si>
    <t>Agreements are limited due to varying opinions within different subgroups and the composite scale might not be appropriate.</t>
  </si>
  <si>
    <t>50 &lt; W &lt; 90</t>
  </si>
  <si>
    <t>While there is a dominant main group, it's worth noting that there are smaller subgroups present as well, although their participant numbers are relatively low.</t>
  </si>
  <si>
    <t>LOW</t>
  </si>
  <si>
    <t>MODERATE</t>
  </si>
  <si>
    <t>HIGH</t>
  </si>
  <si>
    <t>90 &lt; W &lt; 100</t>
  </si>
  <si>
    <t>There are only a few distinct subgroups present since the majority of responses are quite similar</t>
  </si>
  <si>
    <t>Note</t>
  </si>
  <si>
    <t>Visualizing data graphically plays a pivotal role in understanding user characteristics and refining scales, especially when dealing with low to moderate agreement ratios. When the within-group agreement (W) exceeds 50%, signifying the presence of a significant subgroup, data visualization becomes instrumental in comprehending the broader sample population. Moreover, it helps uncover potential smaller subgroups that might exist within the dataset. In cases where the visualized data reveals complexities or nuances, gathering qualitative insights directly from users can provide a deeper understanding of their perspectives and needs, aiding in more informed decision-making.</t>
  </si>
  <si>
    <t>If you have existing data, please copy it from and paste it here. Place it in the first set if you've collected image numbers for each rank, or place it in the second set if you've collected the rank of each image. Once Pasted the data select the cell Q8 (User 0) and drag down to the last entry. Once done head towards composite scale.</t>
  </si>
  <si>
    <t>Error in data</t>
  </si>
  <si>
    <t>User 0</t>
  </si>
  <si>
    <t>User 1</t>
  </si>
  <si>
    <t>User 2</t>
  </si>
  <si>
    <t>User 3</t>
  </si>
  <si>
    <t>User 4</t>
  </si>
  <si>
    <t>User 5</t>
  </si>
  <si>
    <t>User 6</t>
  </si>
  <si>
    <t>User 7</t>
  </si>
  <si>
    <t>User 8</t>
  </si>
  <si>
    <t>User 9</t>
  </si>
  <si>
    <t>User 10</t>
  </si>
  <si>
    <t>User 11</t>
  </si>
  <si>
    <t>User 12</t>
  </si>
  <si>
    <t>User 13</t>
  </si>
  <si>
    <t>User 14</t>
  </si>
  <si>
    <t>User 15</t>
  </si>
  <si>
    <t>User 16</t>
  </si>
  <si>
    <t>User 17</t>
  </si>
  <si>
    <t>User 18</t>
  </si>
  <si>
    <t>User 19</t>
  </si>
  <si>
    <t>User 20</t>
  </si>
  <si>
    <t>User 21</t>
  </si>
  <si>
    <t>User 22</t>
  </si>
  <si>
    <t>User 23</t>
  </si>
  <si>
    <t>User 24</t>
  </si>
  <si>
    <t>composite scale</t>
  </si>
  <si>
    <t>row no.</t>
  </si>
  <si>
    <t>rater no.</t>
  </si>
  <si>
    <t>numerator</t>
  </si>
  <si>
    <t>Denominator</t>
  </si>
  <si>
    <t>n</t>
  </si>
  <si>
    <t>m</t>
  </si>
  <si>
    <t>12S</t>
  </si>
  <si>
    <t>n^2(m^3-m)</t>
  </si>
  <si>
    <t xml:space="preserve">image rank </t>
  </si>
  <si>
    <t>rank sum</t>
  </si>
  <si>
    <t>image and rank frequency</t>
  </si>
  <si>
    <t>Score</t>
  </si>
  <si>
    <t>Rank</t>
  </si>
  <si>
    <t>Rank eq</t>
  </si>
  <si>
    <t>Kendall's W</t>
  </si>
  <si>
    <t>W</t>
  </si>
  <si>
    <t>Round off</t>
  </si>
  <si>
    <t>%age</t>
  </si>
  <si>
    <t>Rank and Image frequency</t>
  </si>
  <si>
    <t>Collective visulization</t>
  </si>
  <si>
    <t>Shift + Ctrl/Cmd + scroll down to see more
Shift + Ctrl/Cmd + scroll up to go back</t>
  </si>
  <si>
    <r>
      <rPr>
        <b/>
        <sz val="16"/>
        <color rgb="FF217346"/>
        <rFont val="Calibri"/>
        <family val="2"/>
        <scheme val="minor"/>
      </rPr>
      <t xml:space="preserve">    </t>
    </r>
    <r>
      <rPr>
        <b/>
        <u/>
        <sz val="16"/>
        <color rgb="FF217346"/>
        <rFont val="Calibri"/>
        <family val="2"/>
        <scheme val="minor"/>
      </rPr>
      <t>Image wise rank plot</t>
    </r>
  </si>
  <si>
    <t>Probable interpretation</t>
  </si>
  <si>
    <t>The graph provides insights into the sample size's perception of a specific image, and collectively, it can offer clues about their preferred sequence. Additionally, it might shed light on the presence and characteristics of subgroups within the data.</t>
  </si>
  <si>
    <t>.</t>
  </si>
  <si>
    <t>If the image bar is predominantly blue, it indicates that users have ranked it as typical. Conversely, if it is mostly orange, users have ranked it as atypical.</t>
  </si>
  <si>
    <t>The circles represents the values that are extreme/outliers for that corresponding item and could be excluded based on the context of the design problem</t>
  </si>
  <si>
    <t>Reference</t>
  </si>
  <si>
    <t>Subgroup</t>
  </si>
  <si>
    <t xml:space="preserve">Insert the number of subgroups you think the sample size have </t>
  </si>
  <si>
    <t>Group 1</t>
  </si>
  <si>
    <t xml:space="preserve"> agreement ratio</t>
  </si>
  <si>
    <t>Group 2</t>
  </si>
  <si>
    <t>Group 3</t>
  </si>
  <si>
    <t>Group 4</t>
  </si>
  <si>
    <t>Group 5</t>
  </si>
  <si>
    <t>Group 6</t>
  </si>
  <si>
    <t>Group 7</t>
  </si>
  <si>
    <t>Group 8</t>
  </si>
  <si>
    <t>Group 9</t>
  </si>
  <si>
    <t>Group 10</t>
  </si>
  <si>
    <t>User 25</t>
  </si>
  <si>
    <t>Cluster list</t>
  </si>
  <si>
    <t>h9:p9</t>
  </si>
  <si>
    <t>AS68:AS68</t>
  </si>
  <si>
    <t>h9:p10</t>
  </si>
  <si>
    <t>AS68:At69</t>
  </si>
  <si>
    <t>h9:p11</t>
  </si>
  <si>
    <t>AS68:Au70</t>
  </si>
  <si>
    <t>h9:p12</t>
  </si>
  <si>
    <t>AS68:Av71</t>
  </si>
  <si>
    <t>h9:p13</t>
  </si>
  <si>
    <t>AS68:Aw72</t>
  </si>
  <si>
    <t>h9:p14</t>
  </si>
  <si>
    <t>AS68:Ax73</t>
  </si>
  <si>
    <t>h9:p15</t>
  </si>
  <si>
    <t>AS68:Ay74</t>
  </si>
  <si>
    <t>h9:p16</t>
  </si>
  <si>
    <t>AS68:Az75</t>
  </si>
  <si>
    <t>h9:p17</t>
  </si>
  <si>
    <t>AS68:ba76</t>
  </si>
  <si>
    <t>h9:p18</t>
  </si>
  <si>
    <t>AS68:bb77</t>
  </si>
  <si>
    <t>h9:p19</t>
  </si>
  <si>
    <t>h9:p20</t>
  </si>
  <si>
    <t>h9:p21</t>
  </si>
  <si>
    <t>h9:p22</t>
  </si>
  <si>
    <t>h9:p23</t>
  </si>
  <si>
    <t>h9:p24</t>
  </si>
  <si>
    <t>h9:p25</t>
  </si>
  <si>
    <t>h9:p26</t>
  </si>
  <si>
    <t>h9:p27</t>
  </si>
  <si>
    <t>h9:p28</t>
  </si>
  <si>
    <t>h9:p29</t>
  </si>
  <si>
    <t>h9:p30</t>
  </si>
  <si>
    <t>h9:p31</t>
  </si>
  <si>
    <t>h9:p32</t>
  </si>
  <si>
    <t>h9:p33</t>
  </si>
  <si>
    <t>h9:p34</t>
  </si>
  <si>
    <t>h9:p35</t>
  </si>
  <si>
    <t>h9:p36</t>
  </si>
  <si>
    <t>h9:p37</t>
  </si>
  <si>
    <t>h9:p38</t>
  </si>
  <si>
    <t>h9:p39</t>
  </si>
  <si>
    <t>h9:p40</t>
  </si>
  <si>
    <t>h9:p41</t>
  </si>
  <si>
    <t>h9:p42</t>
  </si>
  <si>
    <t>h9:p43</t>
  </si>
  <si>
    <t>h9:p44</t>
  </si>
  <si>
    <t>h9:p45</t>
  </si>
  <si>
    <t>h9:p46</t>
  </si>
  <si>
    <t>h9:p47</t>
  </si>
  <si>
    <t>h9:p48</t>
  </si>
  <si>
    <t>h9:p49</t>
  </si>
  <si>
    <t>h9:p50</t>
  </si>
  <si>
    <t>h9:p51</t>
  </si>
  <si>
    <t>h9:p52</t>
  </si>
  <si>
    <t>h9:p53</t>
  </si>
  <si>
    <t>h9:p54</t>
  </si>
  <si>
    <t>h9:p55</t>
  </si>
  <si>
    <t>h9:p56</t>
  </si>
  <si>
    <t>h9:p57</t>
  </si>
  <si>
    <t>h9:p58</t>
  </si>
  <si>
    <t>h9:p59</t>
  </si>
  <si>
    <t>h9:p60</t>
  </si>
  <si>
    <t>h9:p61</t>
  </si>
  <si>
    <t>h9:p62</t>
  </si>
  <si>
    <t>h9:p63</t>
  </si>
  <si>
    <t>h9:p64</t>
  </si>
  <si>
    <t>h9:p65</t>
  </si>
  <si>
    <t>h9:p66</t>
  </si>
  <si>
    <t>h9:p67</t>
  </si>
  <si>
    <t>h9:p68</t>
  </si>
  <si>
    <t>h9:p69</t>
  </si>
  <si>
    <t>h9:p70</t>
  </si>
  <si>
    <t>h9:p71</t>
  </si>
  <si>
    <t>h9:p72</t>
  </si>
  <si>
    <t>h9:p73</t>
  </si>
  <si>
    <t>h9:p74</t>
  </si>
  <si>
    <t>h9:p75</t>
  </si>
  <si>
    <t>h9:p76</t>
  </si>
  <si>
    <t>h9:p77</t>
  </si>
  <si>
    <t>h9:p78</t>
  </si>
  <si>
    <t>h9:p79</t>
  </si>
  <si>
    <t>h9:p80</t>
  </si>
  <si>
    <t>h9:p81</t>
  </si>
  <si>
    <t>h9:p82</t>
  </si>
  <si>
    <t>h9:p83</t>
  </si>
  <si>
    <t>h9:p84</t>
  </si>
  <si>
    <t>h9:p85</t>
  </si>
  <si>
    <t>h9:p86</t>
  </si>
  <si>
    <t>h9:p87</t>
  </si>
  <si>
    <t>h9:p88</t>
  </si>
  <si>
    <t>h9:p89</t>
  </si>
  <si>
    <t>h9:p90</t>
  </si>
  <si>
    <t>h9:p91</t>
  </si>
  <si>
    <t>h9:p92</t>
  </si>
  <si>
    <t>h9:p93</t>
  </si>
  <si>
    <t>h9:p94</t>
  </si>
  <si>
    <t>h9:p95</t>
  </si>
  <si>
    <t>h9:p96</t>
  </si>
  <si>
    <t>h9:p97</t>
  </si>
  <si>
    <t>h9:p98</t>
  </si>
  <si>
    <t>h9:p99</t>
  </si>
  <si>
    <t>h9:p100</t>
  </si>
  <si>
    <t>h9:p101</t>
  </si>
  <si>
    <t>h9:p102</t>
  </si>
  <si>
    <t>h9:p103</t>
  </si>
  <si>
    <t>h9:p104</t>
  </si>
  <si>
    <t>h9:p105</t>
  </si>
  <si>
    <t>h9:p106</t>
  </si>
  <si>
    <t>h9:p107</t>
  </si>
  <si>
    <t>h9:p108</t>
  </si>
  <si>
    <t>S9</t>
  </si>
  <si>
    <t>Anchor point</t>
  </si>
  <si>
    <t xml:space="preserve">Number of entries made = </t>
  </si>
  <si>
    <t>Power</t>
  </si>
  <si>
    <t>Interest</t>
  </si>
  <si>
    <t>Legitimacy</t>
  </si>
  <si>
    <t>Urgency</t>
  </si>
  <si>
    <t>SIAMA</t>
  </si>
  <si>
    <t>Stakeholder 0</t>
  </si>
  <si>
    <t>Stakeholder 1</t>
  </si>
  <si>
    <t>Stakeholder 2</t>
  </si>
  <si>
    <t>Stakeholder 3</t>
  </si>
  <si>
    <t>Stakeholder 4</t>
  </si>
  <si>
    <t>Stakeholder 5</t>
  </si>
  <si>
    <t>Stakeholder 6</t>
  </si>
  <si>
    <t>Stakeholder 7</t>
  </si>
  <si>
    <t>Stakeholder 8</t>
  </si>
  <si>
    <t>Stakeholder 9</t>
  </si>
  <si>
    <t>Stakeholder 10</t>
  </si>
  <si>
    <t>Stakeholder 11</t>
  </si>
  <si>
    <t>Stakeholder 12</t>
  </si>
  <si>
    <t>Stakeholder 13</t>
  </si>
  <si>
    <t>Stakeholder 14</t>
  </si>
  <si>
    <t>Stakeholder 15</t>
  </si>
  <si>
    <t>Stakeholder 16</t>
  </si>
  <si>
    <t>Stakeholder 17</t>
  </si>
  <si>
    <t>Stakeholder 18</t>
  </si>
  <si>
    <t>Stakeholder 19</t>
  </si>
  <si>
    <t>Stakeholder 20</t>
  </si>
  <si>
    <t>Stakeholder 21</t>
  </si>
  <si>
    <t>Stakeholder 22</t>
  </si>
  <si>
    <t>Stakeholder 23</t>
  </si>
  <si>
    <t>Stakeholder 24</t>
  </si>
  <si>
    <t>Stakeholder 25</t>
  </si>
  <si>
    <t>Stakeholder 26</t>
  </si>
  <si>
    <t>Stakeholder 27</t>
  </si>
  <si>
    <t>Stakeholder 28</t>
  </si>
  <si>
    <t>Stakeholder 29</t>
  </si>
  <si>
    <t>Stakeholder 30</t>
  </si>
  <si>
    <t>Stakeholder 31</t>
  </si>
  <si>
    <t>Stakeholder 32</t>
  </si>
  <si>
    <t>Stakeholder 33</t>
  </si>
  <si>
    <t>Stakeholder 34</t>
  </si>
  <si>
    <t>Stakeholder 35</t>
  </si>
  <si>
    <t>Stakeholder 36</t>
  </si>
  <si>
    <t>Stakeholder 37</t>
  </si>
  <si>
    <t>Stakeholder 38</t>
  </si>
  <si>
    <t>Stakeholder 39</t>
  </si>
  <si>
    <t>Stakeholder 40</t>
  </si>
  <si>
    <t>Stakeholder 41</t>
  </si>
  <si>
    <t>Assign the ratings on the scale of 0-5 on each of the following criteria (Power, Interest, Legitimacy and Urgency)</t>
  </si>
  <si>
    <t>* Hover on the criteria to read more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</si>
</sst>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1">
    <font>
      <sz val="11"/>
      <color theme="1"/>
      <name val="Calibri"/>
      <family val="2"/>
      <scheme val="minor"/>
    </font>
    <font>
      <sz val="11"/>
      <color theme="1"/>
      <name val="Calibri"/>
      <family val="2"/>
      <scheme val="minor"/>
    </font>
    <font>
      <b/>
      <sz val="11"/>
      <color theme="1"/>
      <name val="Calibri"/>
      <family val="2"/>
      <charset val="161"/>
      <scheme val="minor"/>
    </font>
    <font>
      <b/>
      <sz val="11"/>
      <color theme="0"/>
      <name val="Calibri"/>
      <family val="2"/>
      <scheme val="minor"/>
    </font>
    <font>
      <b/>
      <sz val="11"/>
      <color theme="1"/>
      <name val="Calibri"/>
      <family val="2"/>
      <scheme val="minor"/>
    </font>
    <font>
      <sz val="11"/>
      <color theme="0"/>
      <name val="Calibri"/>
      <family val="2"/>
      <scheme val="minor"/>
    </font>
    <font>
      <sz val="16"/>
      <color theme="0"/>
      <name val="Calibri"/>
      <family val="2"/>
      <scheme val="minor"/>
    </font>
    <font>
      <b/>
      <sz val="20"/>
      <color rgb="FF217346"/>
      <name val="Calibri"/>
      <family val="2"/>
      <scheme val="minor"/>
    </font>
    <font>
      <b/>
      <u/>
      <sz val="16"/>
      <color rgb="FF217346"/>
      <name val="Calibri"/>
      <family val="2"/>
      <scheme val="minor"/>
    </font>
    <font>
      <b/>
      <sz val="16"/>
      <color theme="0"/>
      <name val="Calibri"/>
      <family val="2"/>
      <scheme val="minor"/>
    </font>
    <font>
      <sz val="16"/>
      <color rgb="FFF0F2F1"/>
      <name val="Calibri"/>
      <family val="2"/>
      <scheme val="minor"/>
    </font>
    <font>
      <sz val="11"/>
      <color rgb="FFC00000"/>
      <name val="Calibri"/>
      <family val="2"/>
      <scheme val="minor"/>
    </font>
    <font>
      <u/>
      <sz val="16"/>
      <color theme="0"/>
      <name val="Calibri "/>
    </font>
    <font>
      <sz val="16"/>
      <color theme="0"/>
      <name val="Calibri "/>
    </font>
    <font>
      <sz val="14"/>
      <color theme="1"/>
      <name val="Calibri"/>
      <family val="2"/>
      <scheme val="minor"/>
    </font>
    <font>
      <b/>
      <sz val="14"/>
      <color theme="1"/>
      <name val="Calibri"/>
      <family val="2"/>
      <scheme val="minor"/>
    </font>
    <font>
      <b/>
      <u/>
      <sz val="14"/>
      <color theme="1"/>
      <name val="Calibri"/>
      <family val="2"/>
      <scheme val="minor"/>
    </font>
    <font>
      <b/>
      <sz val="11"/>
      <color rgb="FFC00000"/>
      <name val="Calibri"/>
      <family val="2"/>
      <scheme val="minor"/>
    </font>
    <font>
      <b/>
      <u/>
      <sz val="14"/>
      <color rgb="FF217346"/>
      <name val="Calibri"/>
      <family val="2"/>
      <scheme val="minor"/>
    </font>
    <font>
      <b/>
      <sz val="18"/>
      <color theme="1"/>
      <name val="Calibri"/>
      <family val="2"/>
      <scheme val="minor"/>
    </font>
    <font>
      <sz val="18"/>
      <color rgb="FFC00000"/>
      <name val="Calibri"/>
      <family val="2"/>
      <scheme val="minor"/>
    </font>
    <font>
      <sz val="11"/>
      <color theme="0" tint="-0.249977111117893"/>
      <name val="Calibri"/>
      <family val="2"/>
      <scheme val="minor"/>
    </font>
    <font>
      <sz val="11"/>
      <color rgb="FFF0F2F1"/>
      <name val="Calibri"/>
      <family val="2"/>
      <scheme val="minor"/>
    </font>
    <font>
      <sz val="16"/>
      <color theme="1"/>
      <name val="Calibri"/>
      <family val="2"/>
      <scheme val="minor"/>
    </font>
    <font>
      <b/>
      <sz val="16"/>
      <color rgb="FF294551"/>
      <name val="Calibri"/>
      <family val="2"/>
      <scheme val="minor"/>
    </font>
    <font>
      <sz val="14"/>
      <color rgb="FF294551"/>
      <name val="Calibri"/>
      <family val="2"/>
      <scheme val="minor"/>
    </font>
    <font>
      <sz val="11"/>
      <color rgb="FF294551"/>
      <name val="Calibri"/>
      <family val="2"/>
      <scheme val="minor"/>
    </font>
    <font>
      <b/>
      <sz val="20"/>
      <color rgb="FF294551"/>
      <name val="Calibri"/>
      <family val="2"/>
      <scheme val="minor"/>
    </font>
    <font>
      <sz val="12"/>
      <color theme="1"/>
      <name val="Calibri"/>
      <family val="2"/>
      <scheme val="minor"/>
    </font>
    <font>
      <b/>
      <sz val="11"/>
      <color theme="7" tint="-0.249977111117893"/>
      <name val="Calibri"/>
      <family val="2"/>
      <scheme val="minor"/>
    </font>
    <font>
      <sz val="10"/>
      <color theme="1"/>
      <name val="Arial Unicode MS"/>
    </font>
    <font>
      <b/>
      <sz val="20"/>
      <color rgb="FFBF8F00"/>
      <name val="Calibri"/>
      <family val="2"/>
      <scheme val="minor"/>
    </font>
    <font>
      <b/>
      <sz val="20"/>
      <color rgb="FFFFF2CC"/>
      <name val="Calibri"/>
      <family val="2"/>
      <scheme val="minor"/>
    </font>
    <font>
      <b/>
      <sz val="60"/>
      <color rgb="FFBF8F00"/>
      <name val="Calibri"/>
      <family val="2"/>
      <scheme val="minor"/>
    </font>
    <font>
      <b/>
      <sz val="54"/>
      <color rgb="FFBF8F00"/>
      <name val="Calibri"/>
      <family val="2"/>
      <scheme val="minor"/>
    </font>
    <font>
      <b/>
      <sz val="16"/>
      <color rgb="FF217346"/>
      <name val="Calibri"/>
      <family val="2"/>
      <scheme val="minor"/>
    </font>
    <font>
      <i/>
      <sz val="11"/>
      <color theme="0"/>
      <name val="Calibri"/>
      <family val="2"/>
      <scheme val="minor"/>
    </font>
    <font>
      <sz val="12"/>
      <color rgb="FF294551"/>
      <name val="Calibri"/>
      <family val="2"/>
      <scheme val="minor"/>
    </font>
    <font>
      <b/>
      <sz val="18"/>
      <color theme="0"/>
      <name val="Calibri"/>
      <family val="2"/>
      <scheme val="minor"/>
    </font>
    <font>
      <b/>
      <sz val="72"/>
      <color theme="1"/>
      <name val="Calibri"/>
      <family val="2"/>
      <scheme val="minor"/>
    </font>
    <font>
      <sz val="8"/>
      <name val="Calibri"/>
      <family val="2"/>
      <scheme val="minor"/>
    </font>
    <font>
      <sz val="11"/>
      <color rgb="FF217346"/>
      <name val="Calibri"/>
      <family val="2"/>
      <scheme val="minor"/>
    </font>
    <font>
      <u/>
      <sz val="16"/>
      <color rgb="FF217346"/>
      <name val="Calibri "/>
    </font>
    <font>
      <sz val="16"/>
      <color rgb="FF217346"/>
      <name val="Calibri"/>
      <family val="2"/>
      <scheme val="minor"/>
    </font>
    <font>
      <sz val="16"/>
      <color rgb="FF217346"/>
      <name val="Calibri "/>
    </font>
    <font>
      <b/>
      <sz val="12"/>
      <color theme="0"/>
      <name val="Calibri"/>
      <family val="2"/>
      <scheme val="minor"/>
    </font>
    <font>
      <b/>
      <sz val="12"/>
      <color rgb="FF217346"/>
      <name val="Calibri"/>
      <family val="2"/>
      <scheme val="minor"/>
    </font>
    <font>
      <b/>
      <sz val="14"/>
      <color theme="0"/>
      <name val="Calibri"/>
      <family val="2"/>
      <scheme val="minor"/>
    </font>
    <font>
      <b/>
      <sz val="11.5"/>
      <color theme="1"/>
      <name val="Calibri"/>
      <family val="2"/>
      <scheme val="minor"/>
    </font>
    <font>
      <b/>
      <sz val="11.5"/>
      <color theme="0"/>
      <name val="Calibri"/>
      <family val="2"/>
      <scheme val="minor"/>
    </font>
    <font>
      <b/>
      <sz val="9"/>
      <color indexed="81"/>
      <name val="Tahoma"/>
      <family val="2"/>
    </font>
  </fonts>
  <fills count="11">
    <fill>
      <patternFill patternType="none"/>
    </fill>
    <fill>
      <patternFill patternType="gray125"/>
    </fill>
    <fill>
      <patternFill patternType="solid">
        <fgColor theme="4" tint="0.79998168889431442"/>
        <bgColor indexed="65"/>
      </patternFill>
    </fill>
    <fill>
      <patternFill patternType="solid">
        <fgColor rgb="FF217346"/>
        <bgColor indexed="64"/>
      </patternFill>
    </fill>
    <fill>
      <patternFill patternType="solid">
        <fgColor rgb="FFF0F2F1"/>
        <bgColor indexed="64"/>
      </patternFill>
    </fill>
    <fill>
      <patternFill patternType="solid">
        <fgColor theme="0"/>
        <bgColor indexed="64"/>
      </patternFill>
    </fill>
    <fill>
      <patternFill patternType="solid">
        <fgColor rgb="FF1A5C38"/>
        <bgColor indexed="64"/>
      </patternFill>
    </fill>
    <fill>
      <patternFill patternType="solid">
        <fgColor rgb="FFFCF3F1"/>
        <bgColor indexed="64"/>
      </patternFill>
    </fill>
    <fill>
      <patternFill patternType="solid">
        <fgColor theme="1"/>
        <bgColor indexed="64"/>
      </patternFill>
    </fill>
    <fill>
      <patternFill patternType="solid">
        <fgColor theme="7" tint="0.79998168889431442"/>
        <bgColor indexed="64"/>
      </patternFill>
    </fill>
    <fill>
      <patternFill patternType="solid">
        <fgColor rgb="FFFFF2CC"/>
        <bgColor indexed="64"/>
      </patternFill>
    </fill>
  </fills>
  <borders count="42">
    <border>
      <left/>
      <right/>
      <top/>
      <bottom/>
      <diagonal/>
    </border>
    <border>
      <left/>
      <right/>
      <top style="thin">
        <color auto="1"/>
      </top>
      <bottom/>
      <diagonal/>
    </border>
    <border>
      <left style="thin">
        <color auto="1"/>
      </left>
      <right/>
      <top/>
      <bottom/>
      <diagonal/>
    </border>
    <border>
      <left/>
      <right/>
      <top style="medium">
        <color auto="1"/>
      </top>
      <bottom/>
      <diagonal/>
    </border>
    <border>
      <left/>
      <right/>
      <top style="medium">
        <color auto="1"/>
      </top>
      <bottom style="thin">
        <color auto="1"/>
      </bottom>
      <diagonal/>
    </border>
    <border>
      <left style="thin">
        <color rgb="FF294551"/>
      </left>
      <right/>
      <top style="thin">
        <color rgb="FF294551"/>
      </top>
      <bottom/>
      <diagonal/>
    </border>
    <border>
      <left/>
      <right/>
      <top style="thin">
        <color rgb="FF294551"/>
      </top>
      <bottom/>
      <diagonal/>
    </border>
    <border>
      <left style="thin">
        <color rgb="FF294551"/>
      </left>
      <right/>
      <top/>
      <bottom/>
      <diagonal/>
    </border>
    <border>
      <left style="thin">
        <color indexed="64"/>
      </left>
      <right/>
      <top/>
      <bottom style="thick">
        <color rgb="FF217346"/>
      </bottom>
      <diagonal/>
    </border>
    <border>
      <left/>
      <right/>
      <top/>
      <bottom style="thick">
        <color rgb="FF217346"/>
      </bottom>
      <diagonal/>
    </border>
    <border>
      <left style="thin">
        <color rgb="FFF0F2F1"/>
      </left>
      <right/>
      <top style="thin">
        <color rgb="FFF0F2F1"/>
      </top>
      <bottom/>
      <diagonal/>
    </border>
    <border>
      <left/>
      <right/>
      <top style="thin">
        <color rgb="FFF0F2F1"/>
      </top>
      <bottom/>
      <diagonal/>
    </border>
    <border>
      <left/>
      <right style="thin">
        <color rgb="FFF0F2F1"/>
      </right>
      <top style="thin">
        <color rgb="FFF0F2F1"/>
      </top>
      <bottom/>
      <diagonal/>
    </border>
    <border>
      <left style="thin">
        <color rgb="FFF0F2F1"/>
      </left>
      <right/>
      <top/>
      <bottom/>
      <diagonal/>
    </border>
    <border>
      <left/>
      <right style="thin">
        <color rgb="FFF0F2F1"/>
      </right>
      <top/>
      <bottom/>
      <diagonal/>
    </border>
    <border>
      <left style="thin">
        <color rgb="FFF0F2F1"/>
      </left>
      <right/>
      <top/>
      <bottom style="thin">
        <color rgb="FFF0F2F1"/>
      </bottom>
      <diagonal/>
    </border>
    <border>
      <left/>
      <right/>
      <top/>
      <bottom style="thin">
        <color rgb="FFF0F2F1"/>
      </bottom>
      <diagonal/>
    </border>
    <border>
      <left/>
      <right style="thin">
        <color rgb="FFF0F2F1"/>
      </right>
      <top/>
      <bottom style="thin">
        <color rgb="FFF0F2F1"/>
      </bottom>
      <diagonal/>
    </border>
    <border>
      <left style="thin">
        <color rgb="FF294551"/>
      </left>
      <right/>
      <top style="thin">
        <color rgb="FF294551"/>
      </top>
      <bottom style="thin">
        <color rgb="FF294551"/>
      </bottom>
      <diagonal/>
    </border>
    <border>
      <left/>
      <right/>
      <top style="thin">
        <color rgb="FF294551"/>
      </top>
      <bottom style="thin">
        <color rgb="FF294551"/>
      </bottom>
      <diagonal/>
    </border>
    <border>
      <left/>
      <right style="thin">
        <color rgb="FF294551"/>
      </right>
      <top style="thin">
        <color rgb="FF294551"/>
      </top>
      <bottom style="thin">
        <color rgb="FF294551"/>
      </bottom>
      <diagonal/>
    </border>
    <border>
      <left/>
      <right style="thin">
        <color rgb="FF294551"/>
      </right>
      <top/>
      <bottom/>
      <diagonal/>
    </border>
    <border>
      <left style="thin">
        <color rgb="FF294551"/>
      </left>
      <right/>
      <top/>
      <bottom style="thin">
        <color rgb="FF294551"/>
      </bottom>
      <diagonal/>
    </border>
    <border>
      <left/>
      <right style="thin">
        <color rgb="FF294551"/>
      </right>
      <top/>
      <bottom style="thin">
        <color rgb="FF294551"/>
      </bottom>
      <diagonal/>
    </border>
    <border>
      <left style="thin">
        <color rgb="FF294551"/>
      </left>
      <right style="thin">
        <color rgb="FFF0F2F1"/>
      </right>
      <top style="thin">
        <color rgb="FF294551"/>
      </top>
      <bottom style="thin">
        <color rgb="FF294551"/>
      </bottom>
      <diagonal/>
    </border>
    <border>
      <left style="thin">
        <color rgb="FFF0F2F1"/>
      </left>
      <right style="thin">
        <color rgb="FF294551"/>
      </right>
      <top style="thin">
        <color rgb="FF294551"/>
      </top>
      <bottom style="thin">
        <color rgb="FF294551"/>
      </bottom>
      <diagonal/>
    </border>
    <border>
      <left style="thin">
        <color rgb="FFF0F2F1"/>
      </left>
      <right style="thin">
        <color rgb="FFF0F2F1"/>
      </right>
      <top/>
      <bottom/>
      <diagonal/>
    </border>
    <border>
      <left style="thin">
        <color rgb="FFF0F2F1"/>
      </left>
      <right/>
      <top style="thin">
        <color rgb="FFF0F2F1"/>
      </top>
      <bottom style="thin">
        <color rgb="FFF0F2F1"/>
      </bottom>
      <diagonal/>
    </border>
    <border>
      <left/>
      <right style="thin">
        <color rgb="FFF0F2F1"/>
      </right>
      <top style="thin">
        <color rgb="FFF0F2F1"/>
      </top>
      <bottom style="thin">
        <color rgb="FFF0F2F1"/>
      </bottom>
      <diagonal/>
    </border>
    <border>
      <left/>
      <right style="thin">
        <color rgb="FF294551"/>
      </right>
      <top style="thin">
        <color rgb="FF294551"/>
      </top>
      <bottom/>
      <diagonal/>
    </border>
    <border>
      <left/>
      <right/>
      <top/>
      <bottom style="thin">
        <color rgb="FF294551"/>
      </bottom>
      <diagonal/>
    </border>
    <border>
      <left style="thick">
        <color rgb="FFF0F2F1"/>
      </left>
      <right/>
      <top/>
      <bottom/>
      <diagonal/>
    </border>
    <border>
      <left style="thin">
        <color rgb="FF217346"/>
      </left>
      <right/>
      <top style="thin">
        <color rgb="FF217346"/>
      </top>
      <bottom/>
      <diagonal/>
    </border>
    <border>
      <left/>
      <right/>
      <top style="thin">
        <color rgb="FF217346"/>
      </top>
      <bottom/>
      <diagonal/>
    </border>
    <border>
      <left/>
      <right style="thin">
        <color rgb="FF217346"/>
      </right>
      <top style="thin">
        <color rgb="FF217346"/>
      </top>
      <bottom/>
      <diagonal/>
    </border>
    <border>
      <left style="thin">
        <color rgb="FF217346"/>
      </left>
      <right/>
      <top/>
      <bottom/>
      <diagonal/>
    </border>
    <border>
      <left/>
      <right style="thin">
        <color rgb="FF217346"/>
      </right>
      <top/>
      <bottom/>
      <diagonal/>
    </border>
    <border>
      <left style="thin">
        <color rgb="FF217346"/>
      </left>
      <right/>
      <top/>
      <bottom style="thin">
        <color rgb="FF217346"/>
      </bottom>
      <diagonal/>
    </border>
    <border>
      <left/>
      <right/>
      <top/>
      <bottom style="thin">
        <color rgb="FF217346"/>
      </bottom>
      <diagonal/>
    </border>
    <border>
      <left/>
      <right style="thin">
        <color rgb="FF217346"/>
      </right>
      <top/>
      <bottom style="thin">
        <color rgb="FF217346"/>
      </bottom>
      <diagonal/>
    </border>
    <border>
      <left style="thin">
        <color rgb="FF217346"/>
      </left>
      <right style="thin">
        <color rgb="FF217346"/>
      </right>
      <top style="thin">
        <color rgb="FF217346"/>
      </top>
      <bottom style="thin">
        <color rgb="FF217346"/>
      </bottom>
      <diagonal/>
    </border>
    <border>
      <left/>
      <right style="thin">
        <color indexed="64"/>
      </right>
      <top/>
      <bottom/>
      <diagonal/>
    </border>
  </borders>
  <cellStyleXfs count="3">
    <xf numFmtId="0" fontId="0" fillId="0" borderId="0"/>
    <xf numFmtId="0" fontId="1" fillId="2" borderId="0" applyNumberFormat="0" applyBorder="0" applyAlignment="0" applyProtection="0"/>
    <xf numFmtId="0" fontId="12" fillId="0" borderId="0" applyNumberFormat="0" applyFill="0" applyBorder="0" applyAlignment="0" applyProtection="0"/>
  </cellStyleXfs>
  <cellXfs count="205">
    <xf numFmtId="0" fontId="0" fillId="0" borderId="0" xfId="0"/>
    <xf numFmtId="0" fontId="1" fillId="2" borderId="0" xfId="1"/>
    <xf numFmtId="0" fontId="1" fillId="2" borderId="0" xfId="1" applyAlignment="1">
      <alignment horizontal="center"/>
    </xf>
    <xf numFmtId="0" fontId="0" fillId="0" borderId="0" xfId="0" applyAlignment="1">
      <alignment horizontal="center"/>
    </xf>
    <xf numFmtId="0" fontId="0" fillId="2" borderId="0" xfId="1" applyFont="1" applyAlignment="1">
      <alignment horizontal="center"/>
    </xf>
    <xf numFmtId="0" fontId="0" fillId="0" borderId="1" xfId="0" applyBorder="1"/>
    <xf numFmtId="0" fontId="0" fillId="0" borderId="2"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0" xfId="0" applyAlignment="1">
      <alignment horizontal="right"/>
    </xf>
    <xf numFmtId="0" fontId="0" fillId="0" borderId="4" xfId="0" applyBorder="1" applyAlignment="1">
      <alignment horizontal="center"/>
    </xf>
    <xf numFmtId="0" fontId="0" fillId="0" borderId="4" xfId="0" applyBorder="1"/>
    <xf numFmtId="0" fontId="0" fillId="2" borderId="0" xfId="1" applyFont="1"/>
    <xf numFmtId="0" fontId="2" fillId="0" borderId="0" xfId="0" applyFont="1" applyAlignment="1">
      <alignment horizontal="center"/>
    </xf>
    <xf numFmtId="0" fontId="2" fillId="0" borderId="0" xfId="0" applyFont="1"/>
    <xf numFmtId="0" fontId="0" fillId="3" borderId="5" xfId="0" applyFill="1" applyBorder="1"/>
    <xf numFmtId="0" fontId="0" fillId="3" borderId="6" xfId="0" applyFill="1" applyBorder="1"/>
    <xf numFmtId="0" fontId="0" fillId="4" borderId="6" xfId="0" applyFill="1" applyBorder="1"/>
    <xf numFmtId="0" fontId="0" fillId="0" borderId="6" xfId="0" applyBorder="1"/>
    <xf numFmtId="0" fontId="0" fillId="3" borderId="7" xfId="0" applyFill="1" applyBorder="1"/>
    <xf numFmtId="0" fontId="12" fillId="3" borderId="0" xfId="2" applyFill="1" applyAlignment="1">
      <alignment vertical="center"/>
    </xf>
    <xf numFmtId="0" fontId="0" fillId="3" borderId="0" xfId="0" applyFill="1"/>
    <xf numFmtId="0" fontId="0" fillId="4" borderId="8" xfId="0" applyFill="1" applyBorder="1"/>
    <xf numFmtId="0" fontId="0" fillId="4" borderId="9" xfId="0" applyFill="1" applyBorder="1"/>
    <xf numFmtId="0" fontId="0" fillId="4" borderId="0" xfId="0" applyFill="1"/>
    <xf numFmtId="0" fontId="0" fillId="5" borderId="0" xfId="0" applyFill="1"/>
    <xf numFmtId="0" fontId="0" fillId="6" borderId="10" xfId="0" applyFill="1" applyBorder="1"/>
    <xf numFmtId="0" fontId="0" fillId="6" borderId="11" xfId="0" applyFill="1" applyBorder="1"/>
    <xf numFmtId="0" fontId="0" fillId="6" borderId="12" xfId="0" applyFill="1" applyBorder="1"/>
    <xf numFmtId="0" fontId="0" fillId="6" borderId="13" xfId="0" applyFill="1" applyBorder="1"/>
    <xf numFmtId="0" fontId="0" fillId="6" borderId="0" xfId="0" applyFill="1"/>
    <xf numFmtId="0" fontId="0" fillId="6" borderId="15" xfId="0" applyFill="1" applyBorder="1"/>
    <xf numFmtId="0" fontId="0" fillId="6" borderId="16" xfId="0" applyFill="1" applyBorder="1"/>
    <xf numFmtId="0" fontId="10" fillId="6" borderId="16" xfId="0" applyFont="1" applyFill="1" applyBorder="1"/>
    <xf numFmtId="0" fontId="0" fillId="6" borderId="17" xfId="0" applyFill="1" applyBorder="1"/>
    <xf numFmtId="0" fontId="0" fillId="5" borderId="0" xfId="0" applyFill="1" applyAlignment="1">
      <alignment vertical="top" wrapText="1"/>
    </xf>
    <xf numFmtId="0" fontId="10" fillId="3" borderId="0" xfId="0" applyFont="1" applyFill="1"/>
    <xf numFmtId="0" fontId="0" fillId="4" borderId="0" xfId="0" applyFill="1" applyAlignment="1">
      <alignment wrapText="1"/>
    </xf>
    <xf numFmtId="0" fontId="0" fillId="5" borderId="0" xfId="0" applyFill="1" applyAlignment="1">
      <alignment wrapText="1"/>
    </xf>
    <xf numFmtId="0" fontId="5" fillId="8" borderId="7" xfId="0" applyFont="1" applyFill="1" applyBorder="1"/>
    <xf numFmtId="0" fontId="0" fillId="8" borderId="0" xfId="0" applyFill="1"/>
    <xf numFmtId="0" fontId="5" fillId="8" borderId="0" xfId="0" applyFont="1" applyFill="1"/>
    <xf numFmtId="0" fontId="0" fillId="0" borderId="7" xfId="0" applyBorder="1"/>
    <xf numFmtId="0" fontId="0" fillId="5" borderId="0" xfId="0" applyFill="1" applyAlignment="1">
      <alignment horizontal="center"/>
    </xf>
    <xf numFmtId="0" fontId="12" fillId="3" borderId="0" xfId="2" applyFill="1"/>
    <xf numFmtId="0" fontId="1" fillId="3" borderId="0" xfId="0" applyFont="1" applyFill="1"/>
    <xf numFmtId="0" fontId="0" fillId="5" borderId="0" xfId="0" applyFill="1" applyAlignment="1">
      <alignment vertical="center" wrapText="1"/>
    </xf>
    <xf numFmtId="0" fontId="0" fillId="4" borderId="0" xfId="0" applyFill="1" applyAlignment="1">
      <alignment vertical="top" wrapText="1"/>
    </xf>
    <xf numFmtId="0" fontId="0" fillId="4" borderId="0" xfId="0" applyFill="1" applyAlignment="1">
      <alignment horizontal="center"/>
    </xf>
    <xf numFmtId="0" fontId="0" fillId="4" borderId="0" xfId="0" applyFill="1" applyProtection="1">
      <protection locked="0"/>
    </xf>
    <xf numFmtId="0" fontId="0" fillId="5" borderId="13" xfId="0" applyFill="1" applyBorder="1"/>
    <xf numFmtId="0" fontId="0" fillId="5" borderId="14" xfId="0" applyFill="1" applyBorder="1"/>
    <xf numFmtId="0" fontId="5" fillId="3" borderId="0" xfId="0" applyFont="1" applyFill="1" applyAlignment="1">
      <alignment horizontal="center" vertical="center"/>
    </xf>
    <xf numFmtId="0" fontId="22" fillId="3" borderId="26" xfId="0" applyFont="1" applyFill="1" applyBorder="1"/>
    <xf numFmtId="0" fontId="22" fillId="3" borderId="0" xfId="0" applyFont="1" applyFill="1"/>
    <xf numFmtId="0" fontId="0" fillId="5" borderId="0" xfId="0" applyFill="1" applyAlignment="1">
      <alignment vertical="center"/>
    </xf>
    <xf numFmtId="0" fontId="8" fillId="5" borderId="0" xfId="0" applyFont="1" applyFill="1" applyAlignment="1">
      <alignment vertical="center"/>
    </xf>
    <xf numFmtId="0" fontId="14" fillId="5" borderId="0" xfId="0" applyFont="1" applyFill="1" applyAlignment="1">
      <alignment vertical="center" wrapText="1"/>
    </xf>
    <xf numFmtId="0" fontId="0" fillId="7" borderId="0" xfId="0" applyFill="1"/>
    <xf numFmtId="0" fontId="17" fillId="4" borderId="0" xfId="0" applyFont="1" applyFill="1" applyAlignment="1">
      <alignment vertical="center"/>
    </xf>
    <xf numFmtId="0" fontId="4" fillId="4" borderId="0" xfId="0" applyFont="1" applyFill="1" applyAlignment="1">
      <alignment vertical="center"/>
    </xf>
    <xf numFmtId="0" fontId="24" fillId="5" borderId="0" xfId="0" applyFont="1" applyFill="1" applyAlignment="1">
      <alignment vertical="center"/>
    </xf>
    <xf numFmtId="0" fontId="26" fillId="5" borderId="0" xfId="0" applyFont="1" applyFill="1" applyAlignment="1">
      <alignment vertical="center" wrapText="1"/>
    </xf>
    <xf numFmtId="0" fontId="0" fillId="4" borderId="14" xfId="0" applyFill="1" applyBorder="1"/>
    <xf numFmtId="0" fontId="25" fillId="5" borderId="14" xfId="0" applyFont="1" applyFill="1" applyBorder="1"/>
    <xf numFmtId="0" fontId="25" fillId="5" borderId="13" xfId="0" applyFont="1" applyFill="1" applyBorder="1"/>
    <xf numFmtId="0" fontId="5" fillId="5" borderId="0" xfId="0" applyFont="1" applyFill="1" applyAlignment="1">
      <alignment vertical="center"/>
    </xf>
    <xf numFmtId="0" fontId="5" fillId="4" borderId="0" xfId="0" applyFont="1" applyFill="1" applyAlignment="1">
      <alignment vertical="center"/>
    </xf>
    <xf numFmtId="0" fontId="19" fillId="5" borderId="0" xfId="0" applyFont="1" applyFill="1" applyAlignment="1">
      <alignment vertical="center"/>
    </xf>
    <xf numFmtId="0" fontId="19" fillId="4" borderId="0" xfId="0" applyFont="1" applyFill="1" applyAlignment="1">
      <alignment vertical="center"/>
    </xf>
    <xf numFmtId="0" fontId="25" fillId="5" borderId="0" xfId="0" applyFont="1" applyFill="1" applyAlignment="1">
      <alignment vertical="center"/>
    </xf>
    <xf numFmtId="0" fontId="20" fillId="5" borderId="0" xfId="0" applyFont="1" applyFill="1"/>
    <xf numFmtId="0" fontId="20" fillId="4" borderId="0" xfId="0" applyFont="1" applyFill="1"/>
    <xf numFmtId="0" fontId="25" fillId="5" borderId="0" xfId="0" applyFont="1" applyFill="1"/>
    <xf numFmtId="0" fontId="27" fillId="5" borderId="0" xfId="0" applyFont="1" applyFill="1" applyAlignment="1">
      <alignment vertical="center"/>
    </xf>
    <xf numFmtId="0" fontId="0" fillId="4" borderId="0" xfId="0" applyFill="1" applyAlignment="1">
      <alignment horizontal="center" vertical="center"/>
    </xf>
    <xf numFmtId="0" fontId="0" fillId="4" borderId="0" xfId="0" applyFill="1" applyAlignment="1" applyProtection="1">
      <alignment horizontal="center" vertical="center"/>
      <protection locked="0"/>
    </xf>
    <xf numFmtId="0" fontId="0" fillId="5" borderId="0" xfId="0" applyFill="1" applyAlignment="1">
      <alignment horizontal="center" vertical="center"/>
    </xf>
    <xf numFmtId="0" fontId="22" fillId="3" borderId="26" xfId="0" applyFont="1" applyFill="1" applyBorder="1" applyAlignment="1">
      <alignment horizontal="center" vertical="center"/>
    </xf>
    <xf numFmtId="0" fontId="22" fillId="3" borderId="0" xfId="0" applyFont="1" applyFill="1" applyAlignment="1">
      <alignment horizontal="center" vertical="center"/>
    </xf>
    <xf numFmtId="0" fontId="5" fillId="6" borderId="0" xfId="0" applyFont="1" applyFill="1" applyAlignment="1">
      <alignment horizontal="center" vertical="center"/>
    </xf>
    <xf numFmtId="0" fontId="0" fillId="8" borderId="0" xfId="0" applyFill="1" applyAlignment="1">
      <alignment horizontal="center" vertical="center"/>
    </xf>
    <xf numFmtId="0" fontId="0" fillId="0" borderId="0" xfId="0" applyAlignment="1">
      <alignment horizontal="center" vertical="center"/>
    </xf>
    <xf numFmtId="0" fontId="30" fillId="0" borderId="0" xfId="0" applyFont="1" applyAlignment="1">
      <alignment vertical="center"/>
    </xf>
    <xf numFmtId="0" fontId="5" fillId="3" borderId="0" xfId="0" applyFont="1" applyFill="1" applyAlignment="1">
      <alignment horizontal="center"/>
    </xf>
    <xf numFmtId="0" fontId="5" fillId="3" borderId="0" xfId="0" applyFont="1" applyFill="1"/>
    <xf numFmtId="0" fontId="5" fillId="8" borderId="0" xfId="0" applyFont="1" applyFill="1" applyAlignment="1">
      <alignment horizontal="center" vertical="center"/>
    </xf>
    <xf numFmtId="0" fontId="0" fillId="5" borderId="31" xfId="0" applyFill="1" applyBorder="1"/>
    <xf numFmtId="0" fontId="3" fillId="5" borderId="0" xfId="0" applyFont="1" applyFill="1" applyAlignment="1">
      <alignment horizontal="center"/>
    </xf>
    <xf numFmtId="0" fontId="10" fillId="5" borderId="0" xfId="0" applyFont="1" applyFill="1" applyAlignment="1">
      <alignment vertical="center"/>
    </xf>
    <xf numFmtId="0" fontId="17" fillId="5" borderId="0" xfId="0" applyFont="1" applyFill="1" applyAlignment="1">
      <alignment vertical="center"/>
    </xf>
    <xf numFmtId="0" fontId="4" fillId="5" borderId="0" xfId="0" applyFont="1" applyFill="1" applyAlignment="1">
      <alignment vertical="center"/>
    </xf>
    <xf numFmtId="0" fontId="37" fillId="5" borderId="0" xfId="0" applyFont="1" applyFill="1" applyAlignment="1">
      <alignment vertical="center" wrapText="1"/>
    </xf>
    <xf numFmtId="0" fontId="28" fillId="5" borderId="0" xfId="0" applyFont="1" applyFill="1" applyAlignment="1">
      <alignment vertical="center" wrapText="1"/>
    </xf>
    <xf numFmtId="0" fontId="0" fillId="5" borderId="0" xfId="0" applyFill="1" applyAlignment="1">
      <alignment vertical="top"/>
    </xf>
    <xf numFmtId="0" fontId="5" fillId="6" borderId="33" xfId="0" applyFont="1" applyFill="1" applyBorder="1" applyAlignment="1">
      <alignment horizontal="center" vertical="center"/>
    </xf>
    <xf numFmtId="0" fontId="0" fillId="5" borderId="34" xfId="0" applyFill="1" applyBorder="1" applyAlignment="1">
      <alignment horizontal="center"/>
    </xf>
    <xf numFmtId="0" fontId="0" fillId="5" borderId="35" xfId="0" applyFill="1" applyBorder="1" applyAlignment="1">
      <alignment horizontal="center" vertical="center"/>
    </xf>
    <xf numFmtId="0" fontId="0" fillId="5" borderId="36" xfId="0" applyFill="1" applyBorder="1" applyAlignment="1">
      <alignment horizontal="center"/>
    </xf>
    <xf numFmtId="0" fontId="0" fillId="5" borderId="0" xfId="1" applyFont="1" applyFill="1" applyAlignment="1"/>
    <xf numFmtId="0" fontId="0" fillId="5" borderId="35" xfId="0" applyFill="1" applyBorder="1" applyAlignment="1">
      <alignment horizontal="center"/>
    </xf>
    <xf numFmtId="0" fontId="0" fillId="5" borderId="37" xfId="0" applyFill="1" applyBorder="1" applyAlignment="1">
      <alignment horizontal="center"/>
    </xf>
    <xf numFmtId="0" fontId="0" fillId="5" borderId="38" xfId="0" applyFill="1" applyBorder="1" applyAlignment="1">
      <alignment horizontal="center"/>
    </xf>
    <xf numFmtId="0" fontId="0" fillId="5" borderId="38" xfId="0" applyFill="1" applyBorder="1"/>
    <xf numFmtId="0" fontId="0" fillId="5" borderId="39" xfId="0" applyFill="1" applyBorder="1" applyAlignment="1">
      <alignment horizontal="center"/>
    </xf>
    <xf numFmtId="0" fontId="0" fillId="5" borderId="0" xfId="0" applyFill="1" applyAlignment="1">
      <alignment horizontal="right"/>
    </xf>
    <xf numFmtId="0" fontId="0" fillId="5" borderId="40" xfId="0" applyFill="1" applyBorder="1" applyAlignment="1">
      <alignment horizontal="center"/>
    </xf>
    <xf numFmtId="0" fontId="5" fillId="5" borderId="0" xfId="0" applyFont="1" applyFill="1" applyAlignment="1">
      <alignment horizontal="center" vertical="center"/>
    </xf>
    <xf numFmtId="0" fontId="42" fillId="3" borderId="0" xfId="2" applyFont="1" applyFill="1"/>
    <xf numFmtId="0" fontId="5" fillId="5" borderId="0" xfId="0" applyFont="1" applyFill="1"/>
    <xf numFmtId="0" fontId="5" fillId="5" borderId="0" xfId="0" applyFont="1" applyFill="1" applyAlignment="1">
      <alignment horizontal="left"/>
    </xf>
    <xf numFmtId="0" fontId="43" fillId="3" borderId="0" xfId="0" applyFont="1" applyFill="1"/>
    <xf numFmtId="0" fontId="41" fillId="3" borderId="0" xfId="0" applyFont="1" applyFill="1"/>
    <xf numFmtId="0" fontId="0" fillId="5" borderId="0" xfId="0" applyFill="1" applyAlignment="1">
      <alignment horizontal="justify" vertical="top" wrapText="1"/>
    </xf>
    <xf numFmtId="0" fontId="7" fillId="4" borderId="0" xfId="0" applyFont="1" applyFill="1" applyAlignment="1">
      <alignment horizontal="center" vertical="center"/>
    </xf>
    <xf numFmtId="0" fontId="8" fillId="5" borderId="0" xfId="0" applyFont="1" applyFill="1" applyAlignment="1">
      <alignment horizontal="left"/>
    </xf>
    <xf numFmtId="0" fontId="0" fillId="5" borderId="0" xfId="0" applyFill="1" applyAlignment="1">
      <alignment horizontal="justify" vertical="center" wrapText="1"/>
    </xf>
    <xf numFmtId="0" fontId="8" fillId="5" borderId="0" xfId="0" applyFont="1" applyFill="1" applyAlignment="1">
      <alignment horizontal="left" vertical="center" wrapText="1"/>
    </xf>
    <xf numFmtId="0" fontId="0" fillId="5" borderId="0" xfId="0" applyFill="1" applyAlignment="1">
      <alignment horizontal="justify" wrapText="1"/>
    </xf>
    <xf numFmtId="0" fontId="9" fillId="6" borderId="0" xfId="0" applyFont="1" applyFill="1" applyAlignment="1">
      <alignment horizontal="left"/>
    </xf>
    <xf numFmtId="0" fontId="9" fillId="6" borderId="14" xfId="0" applyFont="1" applyFill="1" applyBorder="1" applyAlignment="1">
      <alignment horizontal="left"/>
    </xf>
    <xf numFmtId="0" fontId="8" fillId="5" borderId="0" xfId="0" applyFont="1" applyFill="1" applyAlignment="1">
      <alignment horizontal="left" vertical="center"/>
    </xf>
    <xf numFmtId="0" fontId="13" fillId="3" borderId="0" xfId="2" applyFont="1" applyFill="1" applyAlignment="1">
      <alignment horizontal="left"/>
    </xf>
    <xf numFmtId="0" fontId="0" fillId="7" borderId="0" xfId="0" applyFill="1" applyAlignment="1">
      <alignment horizontal="center"/>
    </xf>
    <xf numFmtId="0" fontId="20" fillId="5" borderId="6" xfId="0" applyFont="1" applyFill="1" applyBorder="1" applyAlignment="1">
      <alignment horizontal="center"/>
    </xf>
    <xf numFmtId="0" fontId="0" fillId="5" borderId="0" xfId="0" applyFill="1" applyAlignment="1">
      <alignment horizontal="center"/>
    </xf>
    <xf numFmtId="0" fontId="0" fillId="5" borderId="0" xfId="0" applyFill="1" applyAlignment="1">
      <alignment horizontal="left" vertical="center"/>
    </xf>
    <xf numFmtId="0" fontId="5" fillId="8" borderId="0" xfId="0" applyFont="1" applyFill="1" applyAlignment="1">
      <alignment horizontal="center"/>
    </xf>
    <xf numFmtId="0" fontId="21" fillId="4" borderId="0" xfId="0" applyFont="1" applyFill="1" applyAlignment="1">
      <alignment horizontal="center" vertical="center"/>
    </xf>
    <xf numFmtId="0" fontId="0" fillId="0" borderId="27" xfId="0" applyBorder="1" applyAlignment="1">
      <alignment horizontal="center"/>
    </xf>
    <xf numFmtId="0" fontId="0" fillId="0" borderId="28" xfId="0" applyBorder="1" applyAlignment="1">
      <alignment horizontal="center"/>
    </xf>
    <xf numFmtId="0" fontId="5" fillId="3" borderId="0" xfId="0" applyFont="1" applyFill="1" applyAlignment="1">
      <alignment horizontal="center" vertical="center"/>
    </xf>
    <xf numFmtId="0" fontId="5" fillId="3" borderId="14" xfId="0" applyFont="1" applyFill="1" applyBorder="1" applyAlignment="1">
      <alignment horizontal="center" vertical="center"/>
    </xf>
    <xf numFmtId="0" fontId="19" fillId="5" borderId="24" xfId="0" applyFont="1" applyFill="1" applyBorder="1" applyAlignment="1">
      <alignment horizontal="center" vertical="center"/>
    </xf>
    <xf numFmtId="0" fontId="19" fillId="5" borderId="25" xfId="0" applyFont="1" applyFill="1" applyBorder="1" applyAlignment="1">
      <alignment horizontal="center" vertical="center"/>
    </xf>
    <xf numFmtId="0" fontId="0" fillId="5" borderId="7" xfId="0" applyFill="1" applyBorder="1" applyAlignment="1">
      <alignment horizontal="center"/>
    </xf>
    <xf numFmtId="0" fontId="0" fillId="5" borderId="21" xfId="0" applyFill="1" applyBorder="1" applyAlignment="1">
      <alignment horizontal="center"/>
    </xf>
    <xf numFmtId="0" fontId="0" fillId="5" borderId="22" xfId="0" applyFill="1" applyBorder="1" applyAlignment="1">
      <alignment horizontal="center"/>
    </xf>
    <xf numFmtId="0" fontId="0" fillId="5" borderId="23" xfId="0" applyFill="1" applyBorder="1" applyAlignment="1">
      <alignment horizontal="center"/>
    </xf>
    <xf numFmtId="0" fontId="17" fillId="7" borderId="0" xfId="0" applyFont="1" applyFill="1" applyAlignment="1">
      <alignment horizontal="center" vertical="center"/>
    </xf>
    <xf numFmtId="0" fontId="4" fillId="7" borderId="0" xfId="0" applyFont="1" applyFill="1" applyAlignment="1">
      <alignment horizontal="center" vertical="center"/>
    </xf>
    <xf numFmtId="0" fontId="18" fillId="5" borderId="0" xfId="0" applyFont="1" applyFill="1" applyAlignment="1">
      <alignment horizontal="left" vertical="center"/>
    </xf>
    <xf numFmtId="0" fontId="9" fillId="3" borderId="0" xfId="0" applyFont="1" applyFill="1" applyAlignment="1">
      <alignment horizontal="center" vertical="center" textRotation="90" wrapText="1"/>
    </xf>
    <xf numFmtId="0" fontId="9" fillId="3" borderId="0" xfId="0" applyFont="1" applyFill="1" applyAlignment="1">
      <alignment horizontal="center" vertical="center" textRotation="90"/>
    </xf>
    <xf numFmtId="0" fontId="14" fillId="5" borderId="0" xfId="0" applyFont="1" applyFill="1" applyAlignment="1">
      <alignment horizontal="justify" vertical="center" wrapText="1"/>
    </xf>
    <xf numFmtId="0" fontId="10" fillId="3" borderId="18" xfId="0" applyFont="1" applyFill="1" applyBorder="1" applyAlignment="1">
      <alignment horizontal="center" vertical="center"/>
    </xf>
    <xf numFmtId="0" fontId="0" fillId="3" borderId="19" xfId="0" applyFill="1" applyBorder="1" applyAlignment="1">
      <alignment horizontal="center" vertical="center"/>
    </xf>
    <xf numFmtId="0" fontId="10" fillId="3" borderId="13" xfId="0" applyFont="1" applyFill="1" applyBorder="1" applyAlignment="1">
      <alignment horizontal="center" vertical="center"/>
    </xf>
    <xf numFmtId="0" fontId="0" fillId="3" borderId="14" xfId="0" applyFill="1" applyBorder="1" applyAlignment="1">
      <alignment horizontal="center" vertical="center"/>
    </xf>
    <xf numFmtId="0" fontId="10" fillId="3" borderId="19" xfId="0" applyFont="1" applyFill="1" applyBorder="1" applyAlignment="1">
      <alignment horizontal="center" vertical="center"/>
    </xf>
    <xf numFmtId="0" fontId="0" fillId="3" borderId="20" xfId="0" applyFill="1" applyBorder="1" applyAlignment="1">
      <alignment horizontal="center" vertical="center"/>
    </xf>
    <xf numFmtId="0" fontId="0" fillId="5" borderId="0" xfId="0" applyFill="1" applyAlignment="1">
      <alignment horizontal="left" vertical="top" wrapText="1"/>
    </xf>
    <xf numFmtId="0" fontId="25" fillId="4" borderId="0" xfId="0" applyFont="1" applyFill="1" applyAlignment="1">
      <alignment horizontal="center"/>
    </xf>
    <xf numFmtId="0" fontId="8" fillId="5" borderId="0" xfId="0" applyFont="1" applyFill="1" applyAlignment="1">
      <alignment horizontal="center" vertical="center"/>
    </xf>
    <xf numFmtId="0" fontId="32" fillId="10" borderId="0" xfId="0" applyFont="1" applyFill="1" applyAlignment="1">
      <alignment horizontal="center" vertical="center"/>
    </xf>
    <xf numFmtId="0" fontId="31" fillId="10" borderId="0" xfId="0" applyFont="1" applyFill="1" applyAlignment="1">
      <alignment horizontal="center" vertical="center"/>
    </xf>
    <xf numFmtId="0" fontId="34" fillId="10" borderId="0" xfId="0" applyFont="1" applyFill="1" applyAlignment="1">
      <alignment horizontal="right" vertical="center"/>
    </xf>
    <xf numFmtId="0" fontId="33" fillId="10" borderId="0" xfId="0" applyFont="1" applyFill="1" applyAlignment="1">
      <alignment horizontal="left" vertical="center"/>
    </xf>
    <xf numFmtId="0" fontId="25" fillId="4" borderId="0" xfId="0" applyFont="1" applyFill="1" applyAlignment="1">
      <alignment horizontal="center" vertical="center"/>
    </xf>
    <xf numFmtId="0" fontId="6" fillId="3" borderId="13" xfId="0" applyFont="1" applyFill="1" applyBorder="1" applyAlignment="1">
      <alignment horizontal="center"/>
    </xf>
    <xf numFmtId="0" fontId="6" fillId="3" borderId="14" xfId="0" applyFont="1" applyFill="1" applyBorder="1" applyAlignment="1">
      <alignment horizontal="center"/>
    </xf>
    <xf numFmtId="0" fontId="6" fillId="3" borderId="0" xfId="0" applyFont="1" applyFill="1" applyAlignment="1">
      <alignment horizontal="center"/>
    </xf>
    <xf numFmtId="0" fontId="0" fillId="5" borderId="18" xfId="0" applyFill="1" applyBorder="1" applyAlignment="1">
      <alignment horizontal="center"/>
    </xf>
    <xf numFmtId="0" fontId="0" fillId="5" borderId="19" xfId="0" applyFill="1" applyBorder="1" applyAlignment="1">
      <alignment horizontal="center"/>
    </xf>
    <xf numFmtId="0" fontId="23" fillId="5" borderId="7" xfId="0" applyFont="1" applyFill="1" applyBorder="1" applyAlignment="1">
      <alignment horizontal="center" vertical="center"/>
    </xf>
    <xf numFmtId="0" fontId="23" fillId="5" borderId="21" xfId="0" applyFont="1" applyFill="1" applyBorder="1" applyAlignment="1">
      <alignment horizontal="center" vertical="center"/>
    </xf>
    <xf numFmtId="0" fontId="23" fillId="5" borderId="22" xfId="0" applyFont="1" applyFill="1" applyBorder="1" applyAlignment="1">
      <alignment horizontal="center" vertical="center"/>
    </xf>
    <xf numFmtId="0" fontId="23" fillId="5" borderId="23" xfId="0" applyFont="1" applyFill="1" applyBorder="1" applyAlignment="1">
      <alignment horizontal="center" vertical="center"/>
    </xf>
    <xf numFmtId="0" fontId="23" fillId="5" borderId="5" xfId="0" applyFont="1" applyFill="1" applyBorder="1" applyAlignment="1">
      <alignment horizontal="center" vertical="center"/>
    </xf>
    <xf numFmtId="0" fontId="23" fillId="5" borderId="29" xfId="0" applyFont="1" applyFill="1" applyBorder="1" applyAlignment="1">
      <alignment horizontal="center" vertical="center"/>
    </xf>
    <xf numFmtId="0" fontId="23" fillId="5" borderId="6" xfId="0" applyFont="1" applyFill="1" applyBorder="1" applyAlignment="1">
      <alignment horizontal="center" vertical="center"/>
    </xf>
    <xf numFmtId="0" fontId="23" fillId="5" borderId="30" xfId="0" applyFont="1" applyFill="1" applyBorder="1" applyAlignment="1">
      <alignment horizontal="center" vertical="center"/>
    </xf>
    <xf numFmtId="0" fontId="0" fillId="10" borderId="0" xfId="0" applyFill="1" applyAlignment="1">
      <alignment horizontal="center" vertical="center"/>
    </xf>
    <xf numFmtId="0" fontId="8" fillId="5" borderId="0" xfId="0" applyFont="1" applyFill="1" applyAlignment="1">
      <alignment horizontal="center"/>
    </xf>
    <xf numFmtId="0" fontId="8" fillId="5" borderId="31" xfId="0" applyFont="1" applyFill="1" applyBorder="1" applyAlignment="1">
      <alignment horizontal="center" vertical="center"/>
    </xf>
    <xf numFmtId="0" fontId="36" fillId="5" borderId="0" xfId="0" applyFont="1" applyFill="1" applyAlignment="1">
      <alignment horizontal="center"/>
    </xf>
    <xf numFmtId="0" fontId="0" fillId="5" borderId="0" xfId="0" applyFill="1" applyAlignment="1">
      <alignment horizontal="center" vertical="center" wrapText="1"/>
    </xf>
    <xf numFmtId="0" fontId="5" fillId="5" borderId="0" xfId="0" applyFont="1" applyFill="1" applyAlignment="1">
      <alignment horizontal="center"/>
    </xf>
    <xf numFmtId="0" fontId="0" fillId="5" borderId="0" xfId="0" applyFill="1" applyAlignment="1">
      <alignment horizontal="center" vertical="top" wrapText="1"/>
    </xf>
    <xf numFmtId="0" fontId="0" fillId="8" borderId="0" xfId="0" applyFill="1" applyAlignment="1">
      <alignment horizontal="center"/>
    </xf>
    <xf numFmtId="0" fontId="5" fillId="3" borderId="0" xfId="0" applyFont="1" applyFill="1" applyAlignment="1">
      <alignment horizontal="center"/>
    </xf>
    <xf numFmtId="0" fontId="0" fillId="0" borderId="0" xfId="0" applyAlignment="1">
      <alignment horizontal="center"/>
    </xf>
    <xf numFmtId="0" fontId="5" fillId="8" borderId="0" xfId="0" applyFont="1" applyFill="1" applyAlignment="1">
      <alignment horizontal="center" vertical="center"/>
    </xf>
    <xf numFmtId="0" fontId="28" fillId="5" borderId="0" xfId="0" applyFont="1" applyFill="1" applyAlignment="1">
      <alignment horizontal="center" vertical="center" wrapText="1"/>
    </xf>
    <xf numFmtId="0" fontId="0" fillId="3" borderId="0" xfId="0" applyFill="1" applyAlignment="1">
      <alignment horizontal="center" vertical="center" textRotation="90"/>
    </xf>
    <xf numFmtId="0" fontId="29" fillId="9" borderId="0" xfId="0" applyFont="1" applyFill="1" applyAlignment="1">
      <alignment horizontal="center" vertical="center" wrapText="1"/>
    </xf>
    <xf numFmtId="0" fontId="0" fillId="9" borderId="0" xfId="0" applyFill="1" applyAlignment="1">
      <alignment horizontal="center" vertical="center" wrapText="1"/>
    </xf>
    <xf numFmtId="0" fontId="35" fillId="3" borderId="0" xfId="0" applyFont="1" applyFill="1" applyAlignment="1">
      <alignment horizontal="left"/>
    </xf>
    <xf numFmtId="0" fontId="44" fillId="3" borderId="0" xfId="2" applyFont="1" applyFill="1" applyAlignment="1">
      <alignment horizontal="left"/>
    </xf>
    <xf numFmtId="0" fontId="0" fillId="4" borderId="0" xfId="0" applyFill="1" applyAlignment="1">
      <alignment horizontal="center"/>
    </xf>
    <xf numFmtId="0" fontId="39" fillId="4" borderId="0" xfId="1" applyFont="1" applyFill="1" applyAlignment="1">
      <alignment horizontal="center" vertical="center"/>
    </xf>
    <xf numFmtId="0" fontId="38" fillId="4" borderId="0" xfId="0" applyFont="1" applyFill="1" applyAlignment="1">
      <alignment horizontal="center" vertical="center" textRotation="90" wrapText="1"/>
    </xf>
    <xf numFmtId="0" fontId="0" fillId="5" borderId="41" xfId="0" applyFill="1" applyBorder="1"/>
    <xf numFmtId="0" fontId="46" fillId="3" borderId="33" xfId="0" applyFont="1" applyFill="1" applyBorder="1" applyAlignment="1">
      <alignment horizontal="center" vertical="center"/>
    </xf>
    <xf numFmtId="0" fontId="45" fillId="6" borderId="33" xfId="0" applyFont="1" applyFill="1" applyBorder="1" applyAlignment="1">
      <alignment horizontal="center" vertical="center"/>
    </xf>
    <xf numFmtId="0" fontId="45" fillId="3" borderId="34" xfId="0" applyFont="1" applyFill="1" applyBorder="1" applyAlignment="1">
      <alignment horizontal="center" vertical="center"/>
    </xf>
    <xf numFmtId="0" fontId="47" fillId="3" borderId="32" xfId="0" applyFont="1" applyFill="1" applyBorder="1" applyAlignment="1">
      <alignment horizontal="center" vertical="center"/>
    </xf>
    <xf numFmtId="0" fontId="47" fillId="3" borderId="33" xfId="0" applyFont="1" applyFill="1" applyBorder="1" applyAlignment="1">
      <alignment horizontal="center" vertical="center"/>
    </xf>
    <xf numFmtId="0" fontId="47" fillId="3" borderId="35" xfId="0" applyFont="1" applyFill="1" applyBorder="1" applyAlignment="1">
      <alignment horizontal="center" vertical="center"/>
    </xf>
    <xf numFmtId="0" fontId="47" fillId="3" borderId="0" xfId="0" applyFont="1" applyFill="1" applyAlignment="1">
      <alignment horizontal="center" vertical="center"/>
    </xf>
    <xf numFmtId="0" fontId="5" fillId="5" borderId="0" xfId="0" applyFont="1" applyFill="1" applyAlignment="1">
      <alignment vertical="top" wrapText="1"/>
    </xf>
    <xf numFmtId="0" fontId="48" fillId="5" borderId="0" xfId="0" applyFont="1" applyFill="1" applyAlignment="1">
      <alignment horizontal="center" vertical="center" wrapText="1"/>
    </xf>
    <xf numFmtId="0" fontId="49" fillId="5" borderId="0" xfId="0" applyFont="1" applyFill="1" applyAlignment="1">
      <alignment horizontal="center" vertical="center" wrapText="1"/>
    </xf>
    <xf numFmtId="0" fontId="49" fillId="5" borderId="38" xfId="0" applyFont="1" applyFill="1" applyBorder="1" applyAlignment="1">
      <alignment horizontal="center" vertical="center" wrapText="1"/>
    </xf>
    <xf numFmtId="0" fontId="14" fillId="5" borderId="0" xfId="0" applyFont="1" applyFill="1" applyAlignment="1">
      <alignment horizontal="center" vertical="center"/>
    </xf>
  </cellXfs>
  <cellStyles count="3">
    <cellStyle name="20% - Accent1" xfId="1" builtinId="30"/>
    <cellStyle name="Hyperlink" xfId="2" builtinId="8" customBuiltin="1"/>
    <cellStyle name="Normal" xfId="0" builtinId="0"/>
  </cellStyles>
  <dxfs count="21">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dxf>
    <dxf>
      <font>
        <b/>
        <i val="0"/>
        <u val="none"/>
        <color rgb="FFC00000"/>
      </font>
      <fill>
        <patternFill>
          <bgColor rgb="FFFCF3F1"/>
        </patternFill>
      </fill>
      <border>
        <left style="thin">
          <color rgb="FFC00000"/>
        </left>
        <right style="thin">
          <color rgb="FFC00000"/>
        </right>
        <top style="thin">
          <color rgb="FFC00000"/>
        </top>
        <bottom style="thin">
          <color rgb="FFC00000"/>
        </bottom>
        <vertical/>
        <horizontal/>
      </border>
    </dxf>
    <dxf>
      <font>
        <color theme="6" tint="0.79998168889431442"/>
      </font>
      <fill>
        <patternFill>
          <bgColor theme="6" tint="0.79998168889431442"/>
        </patternFill>
      </fill>
    </dxf>
    <dxf>
      <font>
        <color rgb="FF00B050"/>
      </font>
      <fill>
        <patternFill>
          <bgColor theme="6" tint="0.79998168889431442"/>
        </patternFill>
      </fill>
    </dxf>
    <dxf>
      <font>
        <color theme="5" tint="0.79998168889431442"/>
      </font>
      <fill>
        <patternFill>
          <bgColor theme="5" tint="0.79998168889431442"/>
        </patternFill>
      </fill>
    </dxf>
    <dxf>
      <font>
        <color theme="5" tint="-0.24994659260841701"/>
      </font>
      <fill>
        <patternFill>
          <bgColor theme="5" tint="0.79998168889431442"/>
        </patternFill>
      </fill>
    </dxf>
    <dxf>
      <font>
        <color rgb="FF00B050"/>
      </font>
      <fill>
        <patternFill>
          <bgColor theme="6" tint="0.79998168889431442"/>
        </patternFill>
      </fill>
    </dxf>
    <dxf>
      <font>
        <color theme="5" tint="-0.24994659260841701"/>
      </font>
      <fill>
        <patternFill>
          <bgColor theme="5" tint="0.79998168889431442"/>
        </patternFill>
      </fill>
    </dxf>
    <dxf>
      <font>
        <color theme="0"/>
      </font>
      <fill>
        <patternFill>
          <bgColor theme="0"/>
        </patternFill>
      </fill>
    </dxf>
    <dxf>
      <font>
        <b/>
        <i val="0"/>
        <color rgb="FFBF8F00"/>
      </font>
      <fill>
        <patternFill>
          <bgColor rgb="FFFFF2CC"/>
        </patternFill>
      </fill>
    </dxf>
    <dxf>
      <font>
        <b/>
        <i val="0"/>
        <u val="none"/>
        <color rgb="FFC00000"/>
      </font>
      <fill>
        <patternFill>
          <bgColor rgb="FFFCF3F1"/>
        </patternFill>
      </fill>
      <border>
        <left style="thin">
          <color rgb="FFC00000"/>
        </left>
        <right style="thin">
          <color rgb="FFC00000"/>
        </right>
        <top style="thin">
          <color rgb="FFC00000"/>
        </top>
        <bottom style="thin">
          <color rgb="FFC00000"/>
        </bottom>
        <vertical/>
        <horizontal/>
      </border>
    </dxf>
    <dxf>
      <font>
        <b/>
        <i val="0"/>
        <color theme="0"/>
      </font>
      <fill>
        <patternFill>
          <bgColor rgb="FF217346"/>
        </patternFill>
      </fill>
    </dxf>
    <dxf>
      <font>
        <b/>
        <i val="0"/>
        <u val="none"/>
        <color rgb="FFC00000"/>
      </font>
      <fill>
        <patternFill>
          <bgColor rgb="FFFCF3F1"/>
        </patternFill>
      </fill>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Medium9"/>
  <colors>
    <mruColors>
      <color rgb="FF217346"/>
      <color rgb="FFF0F2F1"/>
      <color rgb="FFFFF2CC"/>
      <color rgb="FFBF8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9.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0.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1.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2.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3.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4.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5.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6.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7.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8.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9.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0.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1.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2.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IN">
                <a:solidFill>
                  <a:schemeClr val="tx1"/>
                </a:solidFill>
              </a:rPr>
              <a:t>Tipicality of items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plotArea>
      <c:layout/>
      <c:barChart>
        <c:barDir val="col"/>
        <c:grouping val="stacked"/>
        <c:varyColors val="0"/>
        <c:ser>
          <c:idx val="0"/>
          <c:order val="0"/>
          <c:tx>
            <c:strRef>
              <c:f>Import!$AE$91</c:f>
              <c:strCache>
                <c:ptCount val="1"/>
                <c:pt idx="0">
                  <c:v>Rank 1</c:v>
                </c:pt>
              </c:strCache>
            </c:strRef>
          </c:tx>
          <c:spPr>
            <a:solidFill>
              <a:schemeClr val="accent1">
                <a:lumMod val="5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Import!$AE$92:$AE$101</c:f>
              <c:numCache>
                <c:formatCode>General</c:formatCode>
                <c:ptCount val="10"/>
                <c:pt idx="0">
                  <c:v>9</c:v>
                </c:pt>
                <c:pt idx="1">
                  <c:v>1</c:v>
                </c:pt>
                <c:pt idx="2">
                  <c:v>1</c:v>
                </c:pt>
                <c:pt idx="3">
                  <c:v>1</c:v>
                </c:pt>
                <c:pt idx="4">
                  <c:v>3</c:v>
                </c:pt>
                <c:pt idx="5">
                  <c:v>1</c:v>
                </c:pt>
                <c:pt idx="6">
                  <c:v>1</c:v>
                </c:pt>
                <c:pt idx="7">
                  <c:v>1</c:v>
                </c:pt>
                <c:pt idx="8">
                  <c:v>3</c:v>
                </c:pt>
                <c:pt idx="9">
                  <c:v>4</c:v>
                </c:pt>
              </c:numCache>
            </c:numRef>
          </c:val>
          <c:extLst>
            <c:ext xmlns:c16="http://schemas.microsoft.com/office/drawing/2014/chart" uri="{C3380CC4-5D6E-409C-BE32-E72D297353CC}">
              <c16:uniqueId val="{00000000-0408-49D3-A7AD-A762C04B4798}"/>
            </c:ext>
          </c:extLst>
        </c:ser>
        <c:ser>
          <c:idx val="1"/>
          <c:order val="1"/>
          <c:tx>
            <c:strRef>
              <c:f>Import!$AF$91</c:f>
              <c:strCache>
                <c:ptCount val="1"/>
                <c:pt idx="0">
                  <c:v>Rank 2</c:v>
                </c:pt>
              </c:strCache>
            </c:strRef>
          </c:tx>
          <c:spPr>
            <a:solidFill>
              <a:schemeClr val="accent1">
                <a:lumMod val="75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Import!$AF$92:$AF$101</c:f>
              <c:numCache>
                <c:formatCode>General</c:formatCode>
                <c:ptCount val="10"/>
                <c:pt idx="0">
                  <c:v>2</c:v>
                </c:pt>
                <c:pt idx="1">
                  <c:v>8</c:v>
                </c:pt>
                <c:pt idx="2">
                  <c:v>2</c:v>
                </c:pt>
                <c:pt idx="3">
                  <c:v>1</c:v>
                </c:pt>
                <c:pt idx="4">
                  <c:v>2</c:v>
                </c:pt>
                <c:pt idx="5">
                  <c:v>2</c:v>
                </c:pt>
                <c:pt idx="6">
                  <c:v>3</c:v>
                </c:pt>
                <c:pt idx="7">
                  <c:v>2</c:v>
                </c:pt>
                <c:pt idx="8">
                  <c:v>2</c:v>
                </c:pt>
                <c:pt idx="9">
                  <c:v>1</c:v>
                </c:pt>
              </c:numCache>
            </c:numRef>
          </c:val>
          <c:extLst>
            <c:ext xmlns:c16="http://schemas.microsoft.com/office/drawing/2014/chart" uri="{C3380CC4-5D6E-409C-BE32-E72D297353CC}">
              <c16:uniqueId val="{00000001-0408-49D3-A7AD-A762C04B4798}"/>
            </c:ext>
          </c:extLst>
        </c:ser>
        <c:ser>
          <c:idx val="2"/>
          <c:order val="2"/>
          <c:tx>
            <c:strRef>
              <c:f>Import!$AG$91</c:f>
              <c:strCache>
                <c:ptCount val="1"/>
                <c:pt idx="0">
                  <c:v>Rank 3</c:v>
                </c:pt>
              </c:strCache>
            </c:strRef>
          </c:tx>
          <c:spPr>
            <a:solidFill>
              <a:schemeClr val="accent1">
                <a:lumMod val="60000"/>
                <a:lumOff val="4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Import!$AG$92:$AG$101</c:f>
              <c:numCache>
                <c:formatCode>General</c:formatCode>
                <c:ptCount val="10"/>
                <c:pt idx="0">
                  <c:v>1</c:v>
                </c:pt>
                <c:pt idx="1">
                  <c:v>2</c:v>
                </c:pt>
                <c:pt idx="2">
                  <c:v>8</c:v>
                </c:pt>
                <c:pt idx="3">
                  <c:v>1</c:v>
                </c:pt>
                <c:pt idx="4">
                  <c:v>2</c:v>
                </c:pt>
                <c:pt idx="5">
                  <c:v>1</c:v>
                </c:pt>
                <c:pt idx="6">
                  <c:v>2</c:v>
                </c:pt>
                <c:pt idx="7">
                  <c:v>6</c:v>
                </c:pt>
                <c:pt idx="8">
                  <c:v>1</c:v>
                </c:pt>
                <c:pt idx="9">
                  <c:v>1</c:v>
                </c:pt>
              </c:numCache>
            </c:numRef>
          </c:val>
          <c:extLst>
            <c:ext xmlns:c16="http://schemas.microsoft.com/office/drawing/2014/chart" uri="{C3380CC4-5D6E-409C-BE32-E72D297353CC}">
              <c16:uniqueId val="{00000002-0408-49D3-A7AD-A762C04B4798}"/>
            </c:ext>
          </c:extLst>
        </c:ser>
        <c:ser>
          <c:idx val="3"/>
          <c:order val="3"/>
          <c:tx>
            <c:strRef>
              <c:f>Import!$AH$91</c:f>
              <c:strCache>
                <c:ptCount val="1"/>
                <c:pt idx="0">
                  <c:v>Rank 4</c:v>
                </c:pt>
              </c:strCache>
            </c:strRef>
          </c:tx>
          <c:spPr>
            <a:solidFill>
              <a:schemeClr val="accent1">
                <a:lumMod val="40000"/>
                <a:lumOff val="6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Import!$AH$92:$AH$101</c:f>
              <c:numCache>
                <c:formatCode>General</c:formatCode>
                <c:ptCount val="10"/>
                <c:pt idx="0">
                  <c:v>1</c:v>
                </c:pt>
                <c:pt idx="1">
                  <c:v>1</c:v>
                </c:pt>
                <c:pt idx="2">
                  <c:v>2</c:v>
                </c:pt>
                <c:pt idx="3">
                  <c:v>10</c:v>
                </c:pt>
                <c:pt idx="4">
                  <c:v>3</c:v>
                </c:pt>
                <c:pt idx="5">
                  <c:v>1</c:v>
                </c:pt>
                <c:pt idx="6">
                  <c:v>4</c:v>
                </c:pt>
                <c:pt idx="7">
                  <c:v>1</c:v>
                </c:pt>
                <c:pt idx="8">
                  <c:v>1</c:v>
                </c:pt>
                <c:pt idx="9">
                  <c:v>1</c:v>
                </c:pt>
              </c:numCache>
            </c:numRef>
          </c:val>
          <c:extLst>
            <c:ext xmlns:c16="http://schemas.microsoft.com/office/drawing/2014/chart" uri="{C3380CC4-5D6E-409C-BE32-E72D297353CC}">
              <c16:uniqueId val="{00000003-0408-49D3-A7AD-A762C04B4798}"/>
            </c:ext>
          </c:extLst>
        </c:ser>
        <c:ser>
          <c:idx val="4"/>
          <c:order val="4"/>
          <c:tx>
            <c:strRef>
              <c:f>Import!$AI$91</c:f>
              <c:strCache>
                <c:ptCount val="1"/>
                <c:pt idx="0">
                  <c:v>Rank 5</c:v>
                </c:pt>
              </c:strCache>
            </c:strRef>
          </c:tx>
          <c:spPr>
            <a:solidFill>
              <a:schemeClr val="accent1">
                <a:lumMod val="20000"/>
                <a:lumOff val="8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Import!$AI$92:$AI$101</c:f>
              <c:numCache>
                <c:formatCode>General</c:formatCode>
                <c:ptCount val="10"/>
                <c:pt idx="0">
                  <c:v>1</c:v>
                </c:pt>
                <c:pt idx="1">
                  <c:v>1</c:v>
                </c:pt>
                <c:pt idx="2">
                  <c:v>3</c:v>
                </c:pt>
                <c:pt idx="3">
                  <c:v>3</c:v>
                </c:pt>
                <c:pt idx="4">
                  <c:v>7</c:v>
                </c:pt>
                <c:pt idx="5">
                  <c:v>6</c:v>
                </c:pt>
                <c:pt idx="6">
                  <c:v>1</c:v>
                </c:pt>
                <c:pt idx="7">
                  <c:v>1</c:v>
                </c:pt>
                <c:pt idx="8">
                  <c:v>1</c:v>
                </c:pt>
                <c:pt idx="9">
                  <c:v>1</c:v>
                </c:pt>
              </c:numCache>
            </c:numRef>
          </c:val>
          <c:extLst>
            <c:ext xmlns:c16="http://schemas.microsoft.com/office/drawing/2014/chart" uri="{C3380CC4-5D6E-409C-BE32-E72D297353CC}">
              <c16:uniqueId val="{00000004-0408-49D3-A7AD-A762C04B4798}"/>
            </c:ext>
          </c:extLst>
        </c:ser>
        <c:ser>
          <c:idx val="5"/>
          <c:order val="5"/>
          <c:tx>
            <c:strRef>
              <c:f>Import!$AJ$91</c:f>
              <c:strCache>
                <c:ptCount val="1"/>
                <c:pt idx="0">
                  <c:v>Rank 6</c:v>
                </c:pt>
              </c:strCache>
            </c:strRef>
          </c:tx>
          <c:spPr>
            <a:solidFill>
              <a:schemeClr val="accent6">
                <a:lumMod val="20000"/>
                <a:lumOff val="8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Import!$AJ$92:$AJ$101</c:f>
              <c:numCache>
                <c:formatCode>General</c:formatCode>
                <c:ptCount val="10"/>
                <c:pt idx="0">
                  <c:v>1</c:v>
                </c:pt>
                <c:pt idx="1">
                  <c:v>2</c:v>
                </c:pt>
                <c:pt idx="2">
                  <c:v>1</c:v>
                </c:pt>
                <c:pt idx="3">
                  <c:v>3</c:v>
                </c:pt>
                <c:pt idx="4">
                  <c:v>4</c:v>
                </c:pt>
                <c:pt idx="5">
                  <c:v>8</c:v>
                </c:pt>
                <c:pt idx="6">
                  <c:v>2</c:v>
                </c:pt>
                <c:pt idx="7">
                  <c:v>1</c:v>
                </c:pt>
                <c:pt idx="8">
                  <c:v>1</c:v>
                </c:pt>
                <c:pt idx="9">
                  <c:v>2</c:v>
                </c:pt>
              </c:numCache>
            </c:numRef>
          </c:val>
          <c:extLst>
            <c:ext xmlns:c16="http://schemas.microsoft.com/office/drawing/2014/chart" uri="{C3380CC4-5D6E-409C-BE32-E72D297353CC}">
              <c16:uniqueId val="{00000005-0408-49D3-A7AD-A762C04B4798}"/>
            </c:ext>
          </c:extLst>
        </c:ser>
        <c:ser>
          <c:idx val="6"/>
          <c:order val="6"/>
          <c:tx>
            <c:strRef>
              <c:f>Import!$AK$91</c:f>
              <c:strCache>
                <c:ptCount val="1"/>
                <c:pt idx="0">
                  <c:v>Rank 7</c:v>
                </c:pt>
              </c:strCache>
            </c:strRef>
          </c:tx>
          <c:spPr>
            <a:solidFill>
              <a:schemeClr val="accent6">
                <a:lumMod val="40000"/>
                <a:lumOff val="6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Import!$AK$92:$AK$101</c:f>
              <c:numCache>
                <c:formatCode>General</c:formatCode>
                <c:ptCount val="10"/>
                <c:pt idx="0">
                  <c:v>2</c:v>
                </c:pt>
                <c:pt idx="1">
                  <c:v>1</c:v>
                </c:pt>
                <c:pt idx="2">
                  <c:v>4</c:v>
                </c:pt>
                <c:pt idx="3">
                  <c:v>2</c:v>
                </c:pt>
                <c:pt idx="4">
                  <c:v>1</c:v>
                </c:pt>
                <c:pt idx="5">
                  <c:v>2</c:v>
                </c:pt>
                <c:pt idx="6">
                  <c:v>5</c:v>
                </c:pt>
                <c:pt idx="7">
                  <c:v>1</c:v>
                </c:pt>
                <c:pt idx="8">
                  <c:v>6</c:v>
                </c:pt>
                <c:pt idx="9">
                  <c:v>1</c:v>
                </c:pt>
              </c:numCache>
            </c:numRef>
          </c:val>
          <c:extLst>
            <c:ext xmlns:c16="http://schemas.microsoft.com/office/drawing/2014/chart" uri="{C3380CC4-5D6E-409C-BE32-E72D297353CC}">
              <c16:uniqueId val="{00000006-0408-49D3-A7AD-A762C04B4798}"/>
            </c:ext>
          </c:extLst>
        </c:ser>
        <c:ser>
          <c:idx val="7"/>
          <c:order val="7"/>
          <c:tx>
            <c:strRef>
              <c:f>Import!$AL$91</c:f>
              <c:strCache>
                <c:ptCount val="1"/>
                <c:pt idx="0">
                  <c:v>Rank 8</c:v>
                </c:pt>
              </c:strCache>
            </c:strRef>
          </c:tx>
          <c:spPr>
            <a:solidFill>
              <a:schemeClr val="accent6">
                <a:lumMod val="60000"/>
                <a:lumOff val="4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Import!$AL$92:$AL$101</c:f>
              <c:numCache>
                <c:formatCode>General</c:formatCode>
                <c:ptCount val="10"/>
                <c:pt idx="0">
                  <c:v>1</c:v>
                </c:pt>
                <c:pt idx="1">
                  <c:v>5</c:v>
                </c:pt>
                <c:pt idx="2">
                  <c:v>2</c:v>
                </c:pt>
                <c:pt idx="3">
                  <c:v>2</c:v>
                </c:pt>
                <c:pt idx="4">
                  <c:v>1</c:v>
                </c:pt>
                <c:pt idx="5">
                  <c:v>2</c:v>
                </c:pt>
                <c:pt idx="6">
                  <c:v>3</c:v>
                </c:pt>
                <c:pt idx="7">
                  <c:v>7</c:v>
                </c:pt>
                <c:pt idx="8">
                  <c:v>1</c:v>
                </c:pt>
                <c:pt idx="9">
                  <c:v>1</c:v>
                </c:pt>
              </c:numCache>
            </c:numRef>
          </c:val>
          <c:extLst>
            <c:ext xmlns:c16="http://schemas.microsoft.com/office/drawing/2014/chart" uri="{C3380CC4-5D6E-409C-BE32-E72D297353CC}">
              <c16:uniqueId val="{00000007-0408-49D3-A7AD-A762C04B4798}"/>
            </c:ext>
          </c:extLst>
        </c:ser>
        <c:ser>
          <c:idx val="8"/>
          <c:order val="8"/>
          <c:tx>
            <c:strRef>
              <c:f>Import!$AM$91</c:f>
              <c:strCache>
                <c:ptCount val="1"/>
                <c:pt idx="0">
                  <c:v>Rank 9</c:v>
                </c:pt>
              </c:strCache>
            </c:strRef>
          </c:tx>
          <c:spPr>
            <a:solidFill>
              <a:schemeClr val="accent6">
                <a:lumMod val="75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Import!$AM$92:$AM$101</c:f>
              <c:numCache>
                <c:formatCode>General</c:formatCode>
                <c:ptCount val="10"/>
                <c:pt idx="0">
                  <c:v>4</c:v>
                </c:pt>
                <c:pt idx="1">
                  <c:v>2</c:v>
                </c:pt>
                <c:pt idx="2">
                  <c:v>1</c:v>
                </c:pt>
                <c:pt idx="3">
                  <c:v>1</c:v>
                </c:pt>
                <c:pt idx="4">
                  <c:v>1</c:v>
                </c:pt>
                <c:pt idx="5">
                  <c:v>1</c:v>
                </c:pt>
                <c:pt idx="6">
                  <c:v>2</c:v>
                </c:pt>
                <c:pt idx="7">
                  <c:v>4</c:v>
                </c:pt>
                <c:pt idx="8">
                  <c:v>6</c:v>
                </c:pt>
                <c:pt idx="9">
                  <c:v>3</c:v>
                </c:pt>
              </c:numCache>
            </c:numRef>
          </c:val>
          <c:extLst>
            <c:ext xmlns:c16="http://schemas.microsoft.com/office/drawing/2014/chart" uri="{C3380CC4-5D6E-409C-BE32-E72D297353CC}">
              <c16:uniqueId val="{00000008-0408-49D3-A7AD-A762C04B4798}"/>
            </c:ext>
          </c:extLst>
        </c:ser>
        <c:ser>
          <c:idx val="9"/>
          <c:order val="9"/>
          <c:tx>
            <c:strRef>
              <c:f>Import!$AN$91</c:f>
              <c:strCache>
                <c:ptCount val="1"/>
                <c:pt idx="0">
                  <c:v>Rank 10</c:v>
                </c:pt>
              </c:strCache>
            </c:strRef>
          </c:tx>
          <c:spPr>
            <a:solidFill>
              <a:schemeClr val="accent6">
                <a:lumMod val="5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Import!$AN$92:$AN$101</c:f>
              <c:numCache>
                <c:formatCode>General</c:formatCode>
                <c:ptCount val="10"/>
                <c:pt idx="0">
                  <c:v>3</c:v>
                </c:pt>
                <c:pt idx="1">
                  <c:v>2</c:v>
                </c:pt>
                <c:pt idx="2">
                  <c:v>1</c:v>
                </c:pt>
                <c:pt idx="3">
                  <c:v>1</c:v>
                </c:pt>
                <c:pt idx="4">
                  <c:v>1</c:v>
                </c:pt>
                <c:pt idx="5">
                  <c:v>1</c:v>
                </c:pt>
                <c:pt idx="6">
                  <c:v>2</c:v>
                </c:pt>
                <c:pt idx="7">
                  <c:v>1</c:v>
                </c:pt>
                <c:pt idx="8">
                  <c:v>3</c:v>
                </c:pt>
                <c:pt idx="9">
                  <c:v>10</c:v>
                </c:pt>
              </c:numCache>
            </c:numRef>
          </c:val>
          <c:extLst>
            <c:ext xmlns:c16="http://schemas.microsoft.com/office/drawing/2014/chart" uri="{C3380CC4-5D6E-409C-BE32-E72D297353CC}">
              <c16:uniqueId val="{00000009-0408-49D3-A7AD-A762C04B4798}"/>
            </c:ext>
          </c:extLst>
        </c:ser>
        <c:dLbls>
          <c:showLegendKey val="0"/>
          <c:showVal val="0"/>
          <c:showCatName val="0"/>
          <c:showSerName val="0"/>
          <c:showPercent val="0"/>
          <c:showBubbleSize val="0"/>
        </c:dLbls>
        <c:gapWidth val="150"/>
        <c:overlap val="100"/>
        <c:axId val="1893189520"/>
        <c:axId val="2049287264"/>
      </c:barChart>
      <c:catAx>
        <c:axId val="189318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287264"/>
        <c:crosses val="autoZero"/>
        <c:auto val="1"/>
        <c:lblAlgn val="ctr"/>
        <c:lblOffset val="100"/>
        <c:noMultiLvlLbl val="0"/>
      </c:catAx>
      <c:valAx>
        <c:axId val="204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18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[1]Import!$AD$96</c:f>
              <c:strCache>
                <c:ptCount val="1"/>
                <c:pt idx="0">
                  <c:v>Image 5</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[1]Import!$AE$96:$AN$96</c:f>
              <c:numCache>
                <c:formatCode>General</c:formatCode>
                <c:ptCount val="10"/>
                <c:pt idx="0">
                  <c:v>3</c:v>
                </c:pt>
                <c:pt idx="1">
                  <c:v>2</c:v>
                </c:pt>
                <c:pt idx="2">
                  <c:v>2</c:v>
                </c:pt>
                <c:pt idx="3">
                  <c:v>3</c:v>
                </c:pt>
                <c:pt idx="4">
                  <c:v>6</c:v>
                </c:pt>
                <c:pt idx="5">
                  <c:v>4</c:v>
                </c:pt>
                <c:pt idx="6">
                  <c:v>1</c:v>
                </c:pt>
                <c:pt idx="7">
                  <c:v>1</c:v>
                </c:pt>
                <c:pt idx="8">
                  <c:v>1</c:v>
                </c:pt>
                <c:pt idx="9">
                  <c:v>1</c:v>
                </c:pt>
              </c:numCache>
            </c:numRef>
          </c:val>
          <c:extLst>
            <c:ext xmlns:c16="http://schemas.microsoft.com/office/drawing/2014/chart" uri="{C3380CC4-5D6E-409C-BE32-E72D297353CC}">
              <c16:uniqueId val="{00000000-8C91-4414-8022-392CF8B6F9C0}"/>
            </c:ext>
          </c:extLst>
        </c:ser>
        <c:dLbls>
          <c:showLegendKey val="0"/>
          <c:showVal val="0"/>
          <c:showCatName val="0"/>
          <c:showSerName val="0"/>
          <c:showPercent val="0"/>
          <c:showBubbleSize val="0"/>
        </c:dLbls>
        <c:axId val="1668539664"/>
        <c:axId val="1506486480"/>
      </c:areaChart>
      <c:catAx>
        <c:axId val="166853966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86480"/>
        <c:crosses val="autoZero"/>
        <c:auto val="1"/>
        <c:lblAlgn val="ctr"/>
        <c:lblOffset val="100"/>
        <c:noMultiLvlLbl val="0"/>
      </c:catAx>
      <c:valAx>
        <c:axId val="1506486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5396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[1]Import!$AD$97</c:f>
              <c:strCache>
                <c:ptCount val="1"/>
                <c:pt idx="0">
                  <c:v>Image 6</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[1]Import!$AE$97:$AN$97</c:f>
              <c:numCache>
                <c:formatCode>General</c:formatCode>
                <c:ptCount val="10"/>
                <c:pt idx="0">
                  <c:v>1</c:v>
                </c:pt>
                <c:pt idx="1">
                  <c:v>2</c:v>
                </c:pt>
                <c:pt idx="2">
                  <c:v>1</c:v>
                </c:pt>
                <c:pt idx="3">
                  <c:v>1</c:v>
                </c:pt>
                <c:pt idx="4">
                  <c:v>6</c:v>
                </c:pt>
                <c:pt idx="5">
                  <c:v>7</c:v>
                </c:pt>
                <c:pt idx="6">
                  <c:v>2</c:v>
                </c:pt>
                <c:pt idx="7">
                  <c:v>2</c:v>
                </c:pt>
                <c:pt idx="8">
                  <c:v>1</c:v>
                </c:pt>
                <c:pt idx="9">
                  <c:v>1</c:v>
                </c:pt>
              </c:numCache>
            </c:numRef>
          </c:val>
          <c:extLst>
            <c:ext xmlns:c16="http://schemas.microsoft.com/office/drawing/2014/chart" uri="{C3380CC4-5D6E-409C-BE32-E72D297353CC}">
              <c16:uniqueId val="{00000000-F3A2-4D2B-B942-D01818B765DD}"/>
            </c:ext>
          </c:extLst>
        </c:ser>
        <c:dLbls>
          <c:showLegendKey val="0"/>
          <c:showVal val="0"/>
          <c:showCatName val="0"/>
          <c:showSerName val="0"/>
          <c:showPercent val="0"/>
          <c:showBubbleSize val="0"/>
        </c:dLbls>
        <c:axId val="2137981024"/>
        <c:axId val="975150288"/>
      </c:areaChart>
      <c:catAx>
        <c:axId val="21379810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150288"/>
        <c:crosses val="autoZero"/>
        <c:auto val="1"/>
        <c:lblAlgn val="ctr"/>
        <c:lblOffset val="100"/>
        <c:noMultiLvlLbl val="0"/>
      </c:catAx>
      <c:valAx>
        <c:axId val="97515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810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[1]Import!$AD$98</c:f>
              <c:strCache>
                <c:ptCount val="1"/>
                <c:pt idx="0">
                  <c:v>Image 7</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[1]Import!$AE$98:$AN$98</c:f>
              <c:numCache>
                <c:formatCode>General</c:formatCode>
                <c:ptCount val="10"/>
                <c:pt idx="0">
                  <c:v>1</c:v>
                </c:pt>
                <c:pt idx="1">
                  <c:v>3</c:v>
                </c:pt>
                <c:pt idx="2">
                  <c:v>2</c:v>
                </c:pt>
                <c:pt idx="3">
                  <c:v>4</c:v>
                </c:pt>
                <c:pt idx="4">
                  <c:v>1</c:v>
                </c:pt>
                <c:pt idx="5">
                  <c:v>2</c:v>
                </c:pt>
                <c:pt idx="6">
                  <c:v>4</c:v>
                </c:pt>
                <c:pt idx="7">
                  <c:v>3</c:v>
                </c:pt>
                <c:pt idx="8">
                  <c:v>2</c:v>
                </c:pt>
                <c:pt idx="9">
                  <c:v>2</c:v>
                </c:pt>
              </c:numCache>
            </c:numRef>
          </c:val>
          <c:extLst>
            <c:ext xmlns:c16="http://schemas.microsoft.com/office/drawing/2014/chart" uri="{C3380CC4-5D6E-409C-BE32-E72D297353CC}">
              <c16:uniqueId val="{00000000-785D-469F-A636-24319046BAE0}"/>
            </c:ext>
          </c:extLst>
        </c:ser>
        <c:dLbls>
          <c:showLegendKey val="0"/>
          <c:showVal val="0"/>
          <c:showCatName val="0"/>
          <c:showSerName val="0"/>
          <c:showPercent val="0"/>
          <c:showBubbleSize val="0"/>
        </c:dLbls>
        <c:axId val="2136591856"/>
        <c:axId val="1975656016"/>
      </c:areaChart>
      <c:catAx>
        <c:axId val="213659185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656016"/>
        <c:crosses val="autoZero"/>
        <c:auto val="1"/>
        <c:lblAlgn val="ctr"/>
        <c:lblOffset val="100"/>
        <c:noMultiLvlLbl val="0"/>
      </c:catAx>
      <c:valAx>
        <c:axId val="197565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9185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[1]Import!$AD$99</c:f>
              <c:strCache>
                <c:ptCount val="1"/>
                <c:pt idx="0">
                  <c:v>Image 8</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[1]Import!$AE$99:$AN$99</c:f>
              <c:numCache>
                <c:formatCode>General</c:formatCode>
                <c:ptCount val="10"/>
                <c:pt idx="0">
                  <c:v>1</c:v>
                </c:pt>
                <c:pt idx="1">
                  <c:v>2</c:v>
                </c:pt>
                <c:pt idx="2">
                  <c:v>6</c:v>
                </c:pt>
                <c:pt idx="3">
                  <c:v>1</c:v>
                </c:pt>
                <c:pt idx="4">
                  <c:v>1</c:v>
                </c:pt>
                <c:pt idx="5">
                  <c:v>1</c:v>
                </c:pt>
                <c:pt idx="6">
                  <c:v>1</c:v>
                </c:pt>
                <c:pt idx="7">
                  <c:v>6</c:v>
                </c:pt>
                <c:pt idx="8">
                  <c:v>4</c:v>
                </c:pt>
                <c:pt idx="9">
                  <c:v>1</c:v>
                </c:pt>
              </c:numCache>
            </c:numRef>
          </c:val>
          <c:extLst>
            <c:ext xmlns:c16="http://schemas.microsoft.com/office/drawing/2014/chart" uri="{C3380CC4-5D6E-409C-BE32-E72D297353CC}">
              <c16:uniqueId val="{00000000-3A50-40FA-89C6-4DE3A7A0D84B}"/>
            </c:ext>
          </c:extLst>
        </c:ser>
        <c:dLbls>
          <c:showLegendKey val="0"/>
          <c:showVal val="0"/>
          <c:showCatName val="0"/>
          <c:showSerName val="0"/>
          <c:showPercent val="0"/>
          <c:showBubbleSize val="0"/>
        </c:dLbls>
        <c:axId val="2131693424"/>
        <c:axId val="1866330816"/>
      </c:areaChart>
      <c:catAx>
        <c:axId val="21316934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30816"/>
        <c:crosses val="autoZero"/>
        <c:auto val="1"/>
        <c:lblAlgn val="ctr"/>
        <c:lblOffset val="100"/>
        <c:noMultiLvlLbl val="0"/>
      </c:catAx>
      <c:valAx>
        <c:axId val="186633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6934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[1]Import!$AD$100</c:f>
              <c:strCache>
                <c:ptCount val="1"/>
                <c:pt idx="0">
                  <c:v>Image 9</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[1]Import!$AE$100:$AN$100</c:f>
              <c:numCache>
                <c:formatCode>General</c:formatCode>
                <c:ptCount val="10"/>
                <c:pt idx="0">
                  <c:v>3</c:v>
                </c:pt>
                <c:pt idx="1">
                  <c:v>2</c:v>
                </c:pt>
                <c:pt idx="2">
                  <c:v>1</c:v>
                </c:pt>
                <c:pt idx="3">
                  <c:v>1</c:v>
                </c:pt>
                <c:pt idx="4">
                  <c:v>1</c:v>
                </c:pt>
                <c:pt idx="5">
                  <c:v>1</c:v>
                </c:pt>
                <c:pt idx="6">
                  <c:v>6</c:v>
                </c:pt>
                <c:pt idx="7">
                  <c:v>1</c:v>
                </c:pt>
                <c:pt idx="8">
                  <c:v>5</c:v>
                </c:pt>
                <c:pt idx="9">
                  <c:v>3</c:v>
                </c:pt>
              </c:numCache>
            </c:numRef>
          </c:val>
          <c:extLst>
            <c:ext xmlns:c16="http://schemas.microsoft.com/office/drawing/2014/chart" uri="{C3380CC4-5D6E-409C-BE32-E72D297353CC}">
              <c16:uniqueId val="{00000000-8B09-4D06-A619-11D9BB16C029}"/>
            </c:ext>
          </c:extLst>
        </c:ser>
        <c:dLbls>
          <c:showLegendKey val="0"/>
          <c:showVal val="0"/>
          <c:showCatName val="0"/>
          <c:showSerName val="0"/>
          <c:showPercent val="0"/>
          <c:showBubbleSize val="0"/>
        </c:dLbls>
        <c:axId val="2131724512"/>
        <c:axId val="1506491760"/>
      </c:areaChart>
      <c:catAx>
        <c:axId val="21317245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91760"/>
        <c:crosses val="autoZero"/>
        <c:auto val="1"/>
        <c:lblAlgn val="ctr"/>
        <c:lblOffset val="100"/>
        <c:noMultiLvlLbl val="0"/>
      </c:catAx>
      <c:valAx>
        <c:axId val="150649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7245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[1]Import!$AD$101</c:f>
              <c:strCache>
                <c:ptCount val="1"/>
                <c:pt idx="0">
                  <c:v>Image 10</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[1]Import!$AE$101:$AN$101</c:f>
              <c:numCache>
                <c:formatCode>General</c:formatCode>
                <c:ptCount val="10"/>
                <c:pt idx="0">
                  <c:v>4</c:v>
                </c:pt>
                <c:pt idx="1">
                  <c:v>1</c:v>
                </c:pt>
                <c:pt idx="2">
                  <c:v>1</c:v>
                </c:pt>
                <c:pt idx="3">
                  <c:v>1</c:v>
                </c:pt>
                <c:pt idx="4">
                  <c:v>1</c:v>
                </c:pt>
                <c:pt idx="5">
                  <c:v>2</c:v>
                </c:pt>
                <c:pt idx="6">
                  <c:v>1</c:v>
                </c:pt>
                <c:pt idx="7">
                  <c:v>1</c:v>
                </c:pt>
                <c:pt idx="8">
                  <c:v>3</c:v>
                </c:pt>
                <c:pt idx="9">
                  <c:v>9</c:v>
                </c:pt>
              </c:numCache>
            </c:numRef>
          </c:val>
          <c:extLst>
            <c:ext xmlns:c16="http://schemas.microsoft.com/office/drawing/2014/chart" uri="{C3380CC4-5D6E-409C-BE32-E72D297353CC}">
              <c16:uniqueId val="{00000000-3890-42EA-8C34-995AF1D9937E}"/>
            </c:ext>
          </c:extLst>
        </c:ser>
        <c:dLbls>
          <c:showLegendKey val="0"/>
          <c:showVal val="0"/>
          <c:showCatName val="0"/>
          <c:showSerName val="0"/>
          <c:showPercent val="0"/>
          <c:showBubbleSize val="0"/>
        </c:dLbls>
        <c:axId val="1735652448"/>
        <c:axId val="1506462000"/>
      </c:areaChart>
      <c:catAx>
        <c:axId val="173565244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62000"/>
        <c:crosses val="autoZero"/>
        <c:auto val="1"/>
        <c:lblAlgn val="ctr"/>
        <c:lblOffset val="100"/>
        <c:noMultiLvlLbl val="0"/>
      </c:catAx>
      <c:valAx>
        <c:axId val="150646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565244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[1]Import!$AD$92</c:f>
              <c:strCache>
                <c:ptCount val="1"/>
                <c:pt idx="0">
                  <c:v>Image 1</c:v>
                </c:pt>
              </c:strCache>
            </c:strRef>
          </c:tx>
          <c:spPr>
            <a:gradFill flip="none" rotWithShape="1">
              <a:gsLst>
                <a:gs pos="60000">
                  <a:schemeClr val="accent6">
                    <a:lumMod val="20000"/>
                    <a:lumOff val="80000"/>
                  </a:schemeClr>
                </a:gs>
                <a:gs pos="40000">
                  <a:schemeClr val="accent1">
                    <a:lumMod val="20000"/>
                    <a:lumOff val="80000"/>
                  </a:schemeClr>
                </a:gs>
                <a:gs pos="0">
                  <a:schemeClr val="accent1">
                    <a:lumMod val="75000"/>
                  </a:schemeClr>
                </a:gs>
                <a:gs pos="100000">
                  <a:schemeClr val="accent6">
                    <a:lumMod val="75000"/>
                  </a:schemeClr>
                </a:gs>
              </a:gsLst>
              <a:lin ang="0" scaled="0"/>
              <a:tileRect/>
            </a:gradFill>
            <a:ln>
              <a:solidFill>
                <a:schemeClr val="accent1"/>
              </a:solidFill>
            </a:ln>
            <a:effectLst/>
          </c:spPr>
          <c:val>
            <c:numRef>
              <c:f>[1]Import!$AE$92:$AN$92</c:f>
              <c:numCache>
                <c:formatCode>General</c:formatCode>
                <c:ptCount val="10"/>
                <c:pt idx="0">
                  <c:v>8</c:v>
                </c:pt>
                <c:pt idx="1">
                  <c:v>2</c:v>
                </c:pt>
                <c:pt idx="2">
                  <c:v>1</c:v>
                </c:pt>
                <c:pt idx="3">
                  <c:v>1</c:v>
                </c:pt>
                <c:pt idx="4">
                  <c:v>1</c:v>
                </c:pt>
                <c:pt idx="5">
                  <c:v>1</c:v>
                </c:pt>
                <c:pt idx="6">
                  <c:v>2</c:v>
                </c:pt>
                <c:pt idx="7">
                  <c:v>1</c:v>
                </c:pt>
                <c:pt idx="8">
                  <c:v>4</c:v>
                </c:pt>
                <c:pt idx="9">
                  <c:v>3</c:v>
                </c:pt>
              </c:numCache>
            </c:numRef>
          </c:val>
          <c:extLst>
            <c:ext xmlns:c16="http://schemas.microsoft.com/office/drawing/2014/chart" uri="{C3380CC4-5D6E-409C-BE32-E72D297353CC}">
              <c16:uniqueId val="{00000000-75E6-4112-8838-DD27587FA745}"/>
            </c:ext>
          </c:extLst>
        </c:ser>
        <c:dLbls>
          <c:showLegendKey val="0"/>
          <c:showVal val="0"/>
          <c:showCatName val="0"/>
          <c:showSerName val="0"/>
          <c:showPercent val="0"/>
          <c:showBubbleSize val="0"/>
        </c:dLbls>
        <c:axId val="1828110544"/>
        <c:axId val="1866318336"/>
      </c:areaChart>
      <c:catAx>
        <c:axId val="182811054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18336"/>
        <c:crosses val="autoZero"/>
        <c:auto val="1"/>
        <c:lblAlgn val="ctr"/>
        <c:lblOffset val="100"/>
        <c:noMultiLvlLbl val="0"/>
      </c:catAx>
      <c:valAx>
        <c:axId val="186631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1105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[1]Import!$AD$93</c:f>
              <c:strCache>
                <c:ptCount val="1"/>
                <c:pt idx="0">
                  <c:v>Image 2</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[1]Import!$AE$93:$AN$93</c:f>
              <c:numCache>
                <c:formatCode>General</c:formatCode>
                <c:ptCount val="10"/>
                <c:pt idx="0">
                  <c:v>1</c:v>
                </c:pt>
                <c:pt idx="1">
                  <c:v>7</c:v>
                </c:pt>
                <c:pt idx="2">
                  <c:v>2</c:v>
                </c:pt>
                <c:pt idx="3">
                  <c:v>1</c:v>
                </c:pt>
                <c:pt idx="4">
                  <c:v>1</c:v>
                </c:pt>
                <c:pt idx="5">
                  <c:v>2</c:v>
                </c:pt>
                <c:pt idx="6">
                  <c:v>1</c:v>
                </c:pt>
                <c:pt idx="7">
                  <c:v>5</c:v>
                </c:pt>
                <c:pt idx="8">
                  <c:v>2</c:v>
                </c:pt>
                <c:pt idx="9">
                  <c:v>2</c:v>
                </c:pt>
              </c:numCache>
            </c:numRef>
          </c:val>
          <c:extLst>
            <c:ext xmlns:c16="http://schemas.microsoft.com/office/drawing/2014/chart" uri="{C3380CC4-5D6E-409C-BE32-E72D297353CC}">
              <c16:uniqueId val="{00000000-7B6B-4C38-855B-9CEEED42EBB4}"/>
            </c:ext>
          </c:extLst>
        </c:ser>
        <c:dLbls>
          <c:showLegendKey val="0"/>
          <c:showVal val="0"/>
          <c:showCatName val="0"/>
          <c:showSerName val="0"/>
          <c:showPercent val="0"/>
          <c:showBubbleSize val="0"/>
        </c:dLbls>
        <c:axId val="1740819728"/>
        <c:axId val="1506482640"/>
      </c:areaChart>
      <c:catAx>
        <c:axId val="174081972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82640"/>
        <c:crosses val="autoZero"/>
        <c:auto val="1"/>
        <c:lblAlgn val="ctr"/>
        <c:lblOffset val="100"/>
        <c:noMultiLvlLbl val="0"/>
      </c:catAx>
      <c:valAx>
        <c:axId val="150648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8197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[1]Import!$AD$94</c:f>
              <c:strCache>
                <c:ptCount val="1"/>
                <c:pt idx="0">
                  <c:v>Image 3</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[1]Import!$AE$94:$AN$94</c:f>
              <c:numCache>
                <c:formatCode>General</c:formatCode>
                <c:ptCount val="10"/>
                <c:pt idx="0">
                  <c:v>1</c:v>
                </c:pt>
                <c:pt idx="1">
                  <c:v>2</c:v>
                </c:pt>
                <c:pt idx="2">
                  <c:v>7</c:v>
                </c:pt>
                <c:pt idx="3">
                  <c:v>2</c:v>
                </c:pt>
                <c:pt idx="4">
                  <c:v>3</c:v>
                </c:pt>
                <c:pt idx="5">
                  <c:v>1</c:v>
                </c:pt>
                <c:pt idx="6">
                  <c:v>4</c:v>
                </c:pt>
                <c:pt idx="7">
                  <c:v>2</c:v>
                </c:pt>
                <c:pt idx="8">
                  <c:v>1</c:v>
                </c:pt>
                <c:pt idx="9">
                  <c:v>1</c:v>
                </c:pt>
              </c:numCache>
            </c:numRef>
          </c:val>
          <c:extLst>
            <c:ext xmlns:c16="http://schemas.microsoft.com/office/drawing/2014/chart" uri="{C3380CC4-5D6E-409C-BE32-E72D297353CC}">
              <c16:uniqueId val="{00000000-2836-458C-9E9C-D35F47CDB064}"/>
            </c:ext>
          </c:extLst>
        </c:ser>
        <c:dLbls>
          <c:showLegendKey val="0"/>
          <c:showVal val="0"/>
          <c:showCatName val="0"/>
          <c:showSerName val="0"/>
          <c:showPercent val="0"/>
          <c:showBubbleSize val="0"/>
        </c:dLbls>
        <c:axId val="1740787712"/>
        <c:axId val="1506369840"/>
      </c:areaChart>
      <c:catAx>
        <c:axId val="17407877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369840"/>
        <c:crosses val="autoZero"/>
        <c:auto val="1"/>
        <c:lblAlgn val="ctr"/>
        <c:lblOffset val="100"/>
        <c:noMultiLvlLbl val="0"/>
      </c:catAx>
      <c:valAx>
        <c:axId val="150636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7877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[1]Import!$AD$95</c:f>
              <c:strCache>
                <c:ptCount val="1"/>
                <c:pt idx="0">
                  <c:v>Image 4</c:v>
                </c:pt>
              </c:strCache>
            </c:strRef>
          </c:tx>
          <c:spPr>
            <a:gradFill>
              <a:gsLst>
                <a:gs pos="40000">
                  <a:schemeClr val="tx2">
                    <a:lumMod val="20000"/>
                    <a:lumOff val="80000"/>
                  </a:schemeClr>
                </a:gs>
                <a:gs pos="60000">
                  <a:schemeClr val="accent6">
                    <a:lumMod val="20000"/>
                    <a:lumOff val="80000"/>
                  </a:schemeClr>
                </a:gs>
                <a:gs pos="0">
                  <a:schemeClr val="accent1">
                    <a:lumMod val="75000"/>
                  </a:schemeClr>
                </a:gs>
                <a:gs pos="100000">
                  <a:schemeClr val="accent6">
                    <a:lumMod val="75000"/>
                  </a:schemeClr>
                </a:gs>
              </a:gsLst>
              <a:lin ang="0" scaled="0"/>
            </a:gradFill>
            <a:ln>
              <a:noFill/>
            </a:ln>
            <a:effectLst/>
          </c:spPr>
          <c:val>
            <c:numRef>
              <c:f>[1]Import!$AE$95:$AN$95</c:f>
              <c:numCache>
                <c:formatCode>General</c:formatCode>
                <c:ptCount val="10"/>
                <c:pt idx="0">
                  <c:v>1</c:v>
                </c:pt>
                <c:pt idx="1">
                  <c:v>1</c:v>
                </c:pt>
                <c:pt idx="2">
                  <c:v>1</c:v>
                </c:pt>
                <c:pt idx="3">
                  <c:v>9</c:v>
                </c:pt>
                <c:pt idx="4">
                  <c:v>3</c:v>
                </c:pt>
                <c:pt idx="5">
                  <c:v>3</c:v>
                </c:pt>
                <c:pt idx="6">
                  <c:v>2</c:v>
                </c:pt>
                <c:pt idx="7">
                  <c:v>2</c:v>
                </c:pt>
                <c:pt idx="8">
                  <c:v>1</c:v>
                </c:pt>
                <c:pt idx="9">
                  <c:v>1</c:v>
                </c:pt>
              </c:numCache>
            </c:numRef>
          </c:val>
          <c:extLst>
            <c:ext xmlns:c16="http://schemas.microsoft.com/office/drawing/2014/chart" uri="{C3380CC4-5D6E-409C-BE32-E72D297353CC}">
              <c16:uniqueId val="{00000000-1DA0-47C7-89A3-0E7197044193}"/>
            </c:ext>
          </c:extLst>
        </c:ser>
        <c:dLbls>
          <c:showLegendKey val="0"/>
          <c:showVal val="0"/>
          <c:showCatName val="0"/>
          <c:showSerName val="0"/>
          <c:showPercent val="0"/>
          <c:showBubbleSize val="0"/>
        </c:dLbls>
        <c:axId val="1832408752"/>
        <c:axId val="2049263264"/>
      </c:areaChart>
      <c:catAx>
        <c:axId val="183240875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263264"/>
        <c:crosses val="autoZero"/>
        <c:auto val="1"/>
        <c:lblAlgn val="ctr"/>
        <c:lblOffset val="100"/>
        <c:noMultiLvlLbl val="0"/>
      </c:catAx>
      <c:valAx>
        <c:axId val="204926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0875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400" b="0"/>
              <a:t>Box Plot</a:t>
            </a:r>
          </a:p>
        </c:rich>
      </c:tx>
      <c:overlay val="0"/>
    </c:title>
    <c:autoTitleDeleted val="0"/>
    <c:plotArea>
      <c:layout/>
      <c:barChart>
        <c:barDir val="col"/>
        <c:grouping val="stacked"/>
        <c:varyColors val="0"/>
        <c:ser>
          <c:idx val="0"/>
          <c:order val="0"/>
          <c:tx>
            <c:strRef>
              <c:f>'[1]Descriptive stats'!$M$4</c:f>
              <c:strCache>
                <c:ptCount val="1"/>
                <c:pt idx="0">
                  <c:v>Min</c:v>
                </c:pt>
              </c:strCache>
            </c:strRef>
          </c:tx>
          <c:spPr>
            <a:noFill/>
            <a:extLst>
              <a:ext uri="{909E8E84-426E-40DD-AFC4-6F175D3DCCD1}">
                <a14:hiddenFill xmlns:a14="http://schemas.microsoft.com/office/drawing/2010/main">
                  <a:solidFill>
                    <a:srgbClr val="4472C4"/>
                  </a:solidFill>
                </a14:hiddenFill>
              </a:ext>
            </a:extLst>
          </c:spPr>
          <c:invertIfNegative val="0"/>
          <c:cat>
            <c:strRef>
              <c:f>'[1]Descriptive stats'!$N$3:$W$3</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'[1]Descriptive stats'!$N$4:$W$4</c:f>
              <c:numCache>
                <c:formatCode>General</c:formatCode>
                <c:ptCount val="10"/>
                <c:pt idx="0">
                  <c:v>1</c:v>
                </c:pt>
                <c:pt idx="1">
                  <c:v>1</c:v>
                </c:pt>
                <c:pt idx="2">
                  <c:v>1</c:v>
                </c:pt>
                <c:pt idx="3">
                  <c:v>1</c:v>
                </c:pt>
                <c:pt idx="4">
                  <c:v>1</c:v>
                </c:pt>
                <c:pt idx="5">
                  <c:v>3</c:v>
                </c:pt>
                <c:pt idx="6">
                  <c:v>1</c:v>
                </c:pt>
                <c:pt idx="7">
                  <c:v>1</c:v>
                </c:pt>
                <c:pt idx="8">
                  <c:v>1</c:v>
                </c:pt>
                <c:pt idx="9">
                  <c:v>1</c:v>
                </c:pt>
              </c:numCache>
            </c:numRef>
          </c:val>
          <c:extLst>
            <c:ext xmlns:c16="http://schemas.microsoft.com/office/drawing/2014/chart" uri="{C3380CC4-5D6E-409C-BE32-E72D297353CC}">
              <c16:uniqueId val="{00000000-1911-4362-971C-98670E74165B}"/>
            </c:ext>
          </c:extLst>
        </c:ser>
        <c:ser>
          <c:idx val="1"/>
          <c:order val="1"/>
          <c:tx>
            <c:strRef>
              <c:f>'[1]Descriptive stats'!$M$5</c:f>
              <c:strCache>
                <c:ptCount val="1"/>
                <c:pt idx="0">
                  <c:v>Q1-Min</c:v>
                </c:pt>
              </c:strCache>
            </c:strRef>
          </c:tx>
          <c:spPr>
            <a:noFill/>
            <a:extLst>
              <a:ext uri="{909E8E84-426E-40DD-AFC4-6F175D3DCCD1}">
                <a14:hiddenFill xmlns:a14="http://schemas.microsoft.com/office/drawing/2010/main">
                  <a:solidFill>
                    <a:srgbClr val="ED7D31"/>
                  </a:solidFill>
                </a14:hiddenFill>
              </a:ext>
            </a:extLst>
          </c:spPr>
          <c:invertIfNegative val="0"/>
          <c:errBars>
            <c:errBarType val="minus"/>
            <c:errValType val="percentage"/>
            <c:noEndCap val="0"/>
            <c:val val="100"/>
          </c:errBars>
          <c:cat>
            <c:strRef>
              <c:f>'[1]Descriptive stats'!$N$3:$W$3</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'[1]Descriptive stats'!$N$5:$W$5</c:f>
              <c:numCache>
                <c:formatCode>General</c:formatCode>
                <c:ptCount val="10"/>
                <c:pt idx="0">
                  <c:v>0</c:v>
                </c:pt>
                <c:pt idx="1">
                  <c:v>1</c:v>
                </c:pt>
                <c:pt idx="2">
                  <c:v>2</c:v>
                </c:pt>
                <c:pt idx="3">
                  <c:v>3</c:v>
                </c:pt>
                <c:pt idx="4">
                  <c:v>2</c:v>
                </c:pt>
                <c:pt idx="5">
                  <c:v>2</c:v>
                </c:pt>
                <c:pt idx="6">
                  <c:v>2.75</c:v>
                </c:pt>
                <c:pt idx="7">
                  <c:v>2</c:v>
                </c:pt>
                <c:pt idx="8">
                  <c:v>2.75</c:v>
                </c:pt>
                <c:pt idx="9">
                  <c:v>2.75</c:v>
                </c:pt>
              </c:numCache>
            </c:numRef>
          </c:val>
          <c:extLst>
            <c:ext xmlns:c16="http://schemas.microsoft.com/office/drawing/2014/chart" uri="{C3380CC4-5D6E-409C-BE32-E72D297353CC}">
              <c16:uniqueId val="{00000001-1911-4362-971C-98670E74165B}"/>
            </c:ext>
          </c:extLst>
        </c:ser>
        <c:ser>
          <c:idx val="2"/>
          <c:order val="2"/>
          <c:tx>
            <c:strRef>
              <c:f>'[1]Descriptive stats'!$M$6</c:f>
              <c:strCache>
                <c:ptCount val="1"/>
                <c:pt idx="0">
                  <c:v>Med-Q1</c:v>
                </c:pt>
              </c:strCache>
            </c:strRef>
          </c:tx>
          <c:spPr>
            <a:solidFill>
              <a:schemeClr val="accent1">
                <a:lumMod val="75000"/>
              </a:schemeClr>
            </a:solidFill>
          </c:spPr>
          <c:invertIfNegative val="0"/>
          <c:cat>
            <c:strRef>
              <c:f>'[1]Descriptive stats'!$N$3:$W$3</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'[1]Descriptive stats'!$N$6:$W$6</c:f>
              <c:numCache>
                <c:formatCode>General</c:formatCode>
                <c:ptCount val="10"/>
                <c:pt idx="0">
                  <c:v>3.5</c:v>
                </c:pt>
                <c:pt idx="1">
                  <c:v>3.5</c:v>
                </c:pt>
                <c:pt idx="2">
                  <c:v>1.5</c:v>
                </c:pt>
                <c:pt idx="3">
                  <c:v>0.5</c:v>
                </c:pt>
                <c:pt idx="4">
                  <c:v>2</c:v>
                </c:pt>
                <c:pt idx="5">
                  <c:v>1</c:v>
                </c:pt>
                <c:pt idx="6">
                  <c:v>2.25</c:v>
                </c:pt>
                <c:pt idx="7">
                  <c:v>3.5</c:v>
                </c:pt>
                <c:pt idx="8">
                  <c:v>3.25</c:v>
                </c:pt>
                <c:pt idx="9">
                  <c:v>4.75</c:v>
                </c:pt>
              </c:numCache>
            </c:numRef>
          </c:val>
          <c:extLst>
            <c:ext xmlns:c16="http://schemas.microsoft.com/office/drawing/2014/chart" uri="{C3380CC4-5D6E-409C-BE32-E72D297353CC}">
              <c16:uniqueId val="{00000002-1911-4362-971C-98670E74165B}"/>
            </c:ext>
          </c:extLst>
        </c:ser>
        <c:ser>
          <c:idx val="3"/>
          <c:order val="3"/>
          <c:tx>
            <c:strRef>
              <c:f>'[1]Descriptive stats'!$M$7</c:f>
              <c:strCache>
                <c:ptCount val="1"/>
                <c:pt idx="0">
                  <c:v>Q3-Med</c:v>
                </c:pt>
              </c:strCache>
            </c:strRef>
          </c:tx>
          <c:spPr>
            <a:solidFill>
              <a:schemeClr val="accent1">
                <a:lumMod val="75000"/>
              </a:schemeClr>
            </a:solidFill>
          </c:spPr>
          <c:invertIfNegative val="0"/>
          <c:errBars>
            <c:errBarType val="plus"/>
            <c:errValType val="cust"/>
            <c:noEndCap val="0"/>
            <c:plus>
              <c:numRef>
                <c:f>'[1]Descriptive stats'!$N$8:$W$8</c:f>
                <c:numCache>
                  <c:formatCode>General</c:formatCode>
                  <c:ptCount val="10"/>
                  <c:pt idx="0">
                    <c:v>1</c:v>
                  </c:pt>
                  <c:pt idx="1">
                    <c:v>2</c:v>
                  </c:pt>
                  <c:pt idx="2">
                    <c:v>3</c:v>
                  </c:pt>
                  <c:pt idx="3">
                    <c:v>3.75</c:v>
                  </c:pt>
                  <c:pt idx="4">
                    <c:v>4</c:v>
                  </c:pt>
                  <c:pt idx="5">
                    <c:v>2.75</c:v>
                  </c:pt>
                  <c:pt idx="6">
                    <c:v>2</c:v>
                  </c:pt>
                  <c:pt idx="7">
                    <c:v>2</c:v>
                  </c:pt>
                  <c:pt idx="8">
                    <c:v>1</c:v>
                  </c:pt>
                  <c:pt idx="9">
                    <c:v>0</c:v>
                  </c:pt>
                </c:numCache>
              </c:numRef>
            </c:plus>
          </c:errBars>
          <c:cat>
            <c:strRef>
              <c:f>'[1]Descriptive stats'!$N$3:$W$3</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'[1]Descriptive stats'!$N$7:$W$7</c:f>
              <c:numCache>
                <c:formatCode>General</c:formatCode>
                <c:ptCount val="10"/>
                <c:pt idx="0">
                  <c:v>4.5</c:v>
                </c:pt>
                <c:pt idx="1">
                  <c:v>2.5</c:v>
                </c:pt>
                <c:pt idx="2">
                  <c:v>2.5</c:v>
                </c:pt>
                <c:pt idx="3">
                  <c:v>1.75</c:v>
                </c:pt>
                <c:pt idx="4">
                  <c:v>1</c:v>
                </c:pt>
                <c:pt idx="5">
                  <c:v>0.25</c:v>
                </c:pt>
                <c:pt idx="6">
                  <c:v>2</c:v>
                </c:pt>
                <c:pt idx="7">
                  <c:v>1.5</c:v>
                </c:pt>
                <c:pt idx="8">
                  <c:v>2</c:v>
                </c:pt>
                <c:pt idx="9">
                  <c:v>1.5</c:v>
                </c:pt>
              </c:numCache>
            </c:numRef>
          </c:val>
          <c:extLst>
            <c:ext xmlns:c16="http://schemas.microsoft.com/office/drawing/2014/chart" uri="{C3380CC4-5D6E-409C-BE32-E72D297353CC}">
              <c16:uniqueId val="{00000003-1911-4362-971C-98670E74165B}"/>
            </c:ext>
          </c:extLst>
        </c:ser>
        <c:dLbls>
          <c:showLegendKey val="0"/>
          <c:showVal val="0"/>
          <c:showCatName val="0"/>
          <c:showSerName val="0"/>
          <c:showPercent val="0"/>
          <c:showBubbleSize val="0"/>
        </c:dLbls>
        <c:gapWidth val="150"/>
        <c:overlap val="100"/>
        <c:axId val="1835265984"/>
        <c:axId val="2049177824"/>
      </c:barChart>
      <c:scatterChart>
        <c:scatterStyle val="lineMarker"/>
        <c:varyColors val="0"/>
        <c:ser>
          <c:idx val="4"/>
          <c:order val="4"/>
          <c:tx>
            <c:v>m</c:v>
          </c:tx>
          <c:spPr>
            <a:ln w="19050">
              <a:noFill/>
            </a:ln>
          </c:spPr>
          <c:marker>
            <c:symbol val="x"/>
            <c:size val="5"/>
            <c:spPr>
              <a:ln>
                <a:solidFill>
                  <a:srgbClr val="000000"/>
                </a:solidFill>
                <a:prstDash val="solid"/>
              </a:ln>
            </c:spPr>
          </c:marker>
          <c:yVal>
            <c:numRef>
              <c:f>'[1]Descriptive stats'!$N$9:$W$9</c:f>
              <c:numCache>
                <c:formatCode>General</c:formatCode>
                <c:ptCount val="10"/>
                <c:pt idx="0">
                  <c:v>4.916666666666667</c:v>
                </c:pt>
                <c:pt idx="1">
                  <c:v>5.291666666666667</c:v>
                </c:pt>
                <c:pt idx="2">
                  <c:v>4.916666666666667</c:v>
                </c:pt>
                <c:pt idx="3">
                  <c:v>5.166666666666667</c:v>
                </c:pt>
                <c:pt idx="4">
                  <c:v>4.708333333333333</c:v>
                </c:pt>
                <c:pt idx="5">
                  <c:v>5.541666666666667</c:v>
                </c:pt>
                <c:pt idx="6">
                  <c:v>5.666666666666667</c:v>
                </c:pt>
                <c:pt idx="7">
                  <c:v>5.791666666666667</c:v>
                </c:pt>
                <c:pt idx="8">
                  <c:v>6.25</c:v>
                </c:pt>
                <c:pt idx="9">
                  <c:v>6.75</c:v>
                </c:pt>
              </c:numCache>
            </c:numRef>
          </c:yVal>
          <c:smooth val="0"/>
          <c:extLst>
            <c:ext xmlns:c16="http://schemas.microsoft.com/office/drawing/2014/chart" uri="{C3380CC4-5D6E-409C-BE32-E72D297353CC}">
              <c16:uniqueId val="{00000004-1911-4362-971C-98670E74165B}"/>
            </c:ext>
          </c:extLst>
        </c:ser>
        <c:ser>
          <c:idx val="5"/>
          <c:order val="5"/>
          <c:tx>
            <c:v>x</c:v>
          </c:tx>
          <c:spPr>
            <a:ln w="19050">
              <a:noFill/>
            </a:ln>
          </c:spPr>
          <c:marker>
            <c:symbol val="circle"/>
            <c:size val="5"/>
            <c:spPr>
              <a:solidFill>
                <a:srgbClr val="FFFFFF"/>
              </a:solidFill>
              <a:ln>
                <a:solidFill>
                  <a:srgbClr val="0000FF"/>
                </a:solidFill>
                <a:prstDash val="solid"/>
              </a:ln>
            </c:spPr>
          </c:marker>
          <c:xVal>
            <c:numLit>
              <c:formatCode>General</c:formatCode>
              <c:ptCount val="4"/>
              <c:pt idx="0">
                <c:v>6</c:v>
              </c:pt>
              <c:pt idx="1">
                <c:v>6</c:v>
              </c:pt>
              <c:pt idx="2">
                <c:v>6</c:v>
              </c:pt>
              <c:pt idx="3">
                <c:v>6</c:v>
              </c:pt>
            </c:numLit>
          </c:xVal>
          <c:yVal>
            <c:numRef>
              <c:f>'[1]Descriptive stats'!$S$20:$S$23</c:f>
              <c:numCache>
                <c:formatCode>General</c:formatCode>
                <c:ptCount val="4"/>
                <c:pt idx="0">
                  <c:v>2</c:v>
                </c:pt>
                <c:pt idx="1">
                  <c:v>2</c:v>
                </c:pt>
                <c:pt idx="2">
                  <c:v>1</c:v>
                </c:pt>
                <c:pt idx="3">
                  <c:v>10</c:v>
                </c:pt>
              </c:numCache>
            </c:numRef>
          </c:yVal>
          <c:smooth val="0"/>
          <c:extLst>
            <c:ext xmlns:c16="http://schemas.microsoft.com/office/drawing/2014/chart" uri="{C3380CC4-5D6E-409C-BE32-E72D297353CC}">
              <c16:uniqueId val="{00000005-1911-4362-971C-98670E74165B}"/>
            </c:ext>
          </c:extLst>
        </c:ser>
        <c:dLbls>
          <c:showLegendKey val="0"/>
          <c:showVal val="0"/>
          <c:showCatName val="0"/>
          <c:showSerName val="0"/>
          <c:showPercent val="0"/>
          <c:showBubbleSize val="0"/>
        </c:dLbls>
        <c:axId val="1835265984"/>
        <c:axId val="2049177824"/>
      </c:scatterChart>
      <c:catAx>
        <c:axId val="1835265984"/>
        <c:scaling>
          <c:orientation val="minMax"/>
        </c:scaling>
        <c:delete val="0"/>
        <c:axPos val="b"/>
        <c:numFmt formatCode="General" sourceLinked="1"/>
        <c:majorTickMark val="out"/>
        <c:minorTickMark val="none"/>
        <c:tickLblPos val="nextTo"/>
        <c:crossAx val="2049177824"/>
        <c:crosses val="autoZero"/>
        <c:auto val="1"/>
        <c:lblAlgn val="ctr"/>
        <c:lblOffset val="100"/>
        <c:noMultiLvlLbl val="0"/>
      </c:catAx>
      <c:valAx>
        <c:axId val="2049177824"/>
        <c:scaling>
          <c:orientation val="minMax"/>
        </c:scaling>
        <c:delete val="0"/>
        <c:axPos val="l"/>
        <c:majorGridlines/>
        <c:numFmt formatCode="General" sourceLinked="1"/>
        <c:majorTickMark val="out"/>
        <c:minorTickMark val="none"/>
        <c:tickLblPos val="nextTo"/>
        <c:crossAx val="1835265984"/>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ln>
      <a:noFill/>
    </a:ln>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Tipicality of items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Import!$AE$91</c:f>
              <c:strCache>
                <c:ptCount val="1"/>
                <c:pt idx="0">
                  <c:v>Rank 1</c:v>
                </c:pt>
              </c:strCache>
            </c:strRef>
          </c:tx>
          <c:spPr>
            <a:solidFill>
              <a:schemeClr val="accent1"/>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Import!$AE$92:$AE$101</c:f>
              <c:numCache>
                <c:formatCode>General</c:formatCode>
                <c:ptCount val="10"/>
                <c:pt idx="0">
                  <c:v>9</c:v>
                </c:pt>
                <c:pt idx="1">
                  <c:v>1</c:v>
                </c:pt>
                <c:pt idx="2">
                  <c:v>1</c:v>
                </c:pt>
                <c:pt idx="3">
                  <c:v>1</c:v>
                </c:pt>
                <c:pt idx="4">
                  <c:v>3</c:v>
                </c:pt>
                <c:pt idx="5">
                  <c:v>1</c:v>
                </c:pt>
                <c:pt idx="6">
                  <c:v>1</c:v>
                </c:pt>
                <c:pt idx="7">
                  <c:v>1</c:v>
                </c:pt>
                <c:pt idx="8">
                  <c:v>3</c:v>
                </c:pt>
                <c:pt idx="9">
                  <c:v>4</c:v>
                </c:pt>
              </c:numCache>
            </c:numRef>
          </c:val>
          <c:extLst>
            <c:ext xmlns:c16="http://schemas.microsoft.com/office/drawing/2014/chart" uri="{C3380CC4-5D6E-409C-BE32-E72D297353CC}">
              <c16:uniqueId val="{00000000-04C6-4F49-AD8D-2320FB01F0B5}"/>
            </c:ext>
          </c:extLst>
        </c:ser>
        <c:ser>
          <c:idx val="1"/>
          <c:order val="1"/>
          <c:tx>
            <c:strRef>
              <c:f>Import!$AF$91</c:f>
              <c:strCache>
                <c:ptCount val="1"/>
                <c:pt idx="0">
                  <c:v>Rank 2</c:v>
                </c:pt>
              </c:strCache>
            </c:strRef>
          </c:tx>
          <c:spPr>
            <a:solidFill>
              <a:schemeClr val="accent2"/>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Import!$AF$92:$AF$101</c:f>
              <c:numCache>
                <c:formatCode>General</c:formatCode>
                <c:ptCount val="10"/>
                <c:pt idx="0">
                  <c:v>2</c:v>
                </c:pt>
                <c:pt idx="1">
                  <c:v>8</c:v>
                </c:pt>
                <c:pt idx="2">
                  <c:v>2</c:v>
                </c:pt>
                <c:pt idx="3">
                  <c:v>1</c:v>
                </c:pt>
                <c:pt idx="4">
                  <c:v>2</c:v>
                </c:pt>
                <c:pt idx="5">
                  <c:v>2</c:v>
                </c:pt>
                <c:pt idx="6">
                  <c:v>3</c:v>
                </c:pt>
                <c:pt idx="7">
                  <c:v>2</c:v>
                </c:pt>
                <c:pt idx="8">
                  <c:v>2</c:v>
                </c:pt>
                <c:pt idx="9">
                  <c:v>1</c:v>
                </c:pt>
              </c:numCache>
            </c:numRef>
          </c:val>
          <c:extLst>
            <c:ext xmlns:c16="http://schemas.microsoft.com/office/drawing/2014/chart" uri="{C3380CC4-5D6E-409C-BE32-E72D297353CC}">
              <c16:uniqueId val="{00000001-04C6-4F49-AD8D-2320FB01F0B5}"/>
            </c:ext>
          </c:extLst>
        </c:ser>
        <c:ser>
          <c:idx val="2"/>
          <c:order val="2"/>
          <c:tx>
            <c:strRef>
              <c:f>Import!$AG$91</c:f>
              <c:strCache>
                <c:ptCount val="1"/>
                <c:pt idx="0">
                  <c:v>Rank 3</c:v>
                </c:pt>
              </c:strCache>
            </c:strRef>
          </c:tx>
          <c:spPr>
            <a:solidFill>
              <a:schemeClr val="accent3"/>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Import!$AG$92:$AG$101</c:f>
              <c:numCache>
                <c:formatCode>General</c:formatCode>
                <c:ptCount val="10"/>
                <c:pt idx="0">
                  <c:v>1</c:v>
                </c:pt>
                <c:pt idx="1">
                  <c:v>2</c:v>
                </c:pt>
                <c:pt idx="2">
                  <c:v>8</c:v>
                </c:pt>
                <c:pt idx="3">
                  <c:v>1</c:v>
                </c:pt>
                <c:pt idx="4">
                  <c:v>2</c:v>
                </c:pt>
                <c:pt idx="5">
                  <c:v>1</c:v>
                </c:pt>
                <c:pt idx="6">
                  <c:v>2</c:v>
                </c:pt>
                <c:pt idx="7">
                  <c:v>6</c:v>
                </c:pt>
                <c:pt idx="8">
                  <c:v>1</c:v>
                </c:pt>
                <c:pt idx="9">
                  <c:v>1</c:v>
                </c:pt>
              </c:numCache>
            </c:numRef>
          </c:val>
          <c:extLst>
            <c:ext xmlns:c16="http://schemas.microsoft.com/office/drawing/2014/chart" uri="{C3380CC4-5D6E-409C-BE32-E72D297353CC}">
              <c16:uniqueId val="{00000002-04C6-4F49-AD8D-2320FB01F0B5}"/>
            </c:ext>
          </c:extLst>
        </c:ser>
        <c:ser>
          <c:idx val="3"/>
          <c:order val="3"/>
          <c:tx>
            <c:strRef>
              <c:f>Import!$AH$91</c:f>
              <c:strCache>
                <c:ptCount val="1"/>
                <c:pt idx="0">
                  <c:v>Rank 4</c:v>
                </c:pt>
              </c:strCache>
            </c:strRef>
          </c:tx>
          <c:spPr>
            <a:solidFill>
              <a:schemeClr val="accent4"/>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Import!$AH$92:$AH$101</c:f>
              <c:numCache>
                <c:formatCode>General</c:formatCode>
                <c:ptCount val="10"/>
                <c:pt idx="0">
                  <c:v>1</c:v>
                </c:pt>
                <c:pt idx="1">
                  <c:v>1</c:v>
                </c:pt>
                <c:pt idx="2">
                  <c:v>2</c:v>
                </c:pt>
                <c:pt idx="3">
                  <c:v>10</c:v>
                </c:pt>
                <c:pt idx="4">
                  <c:v>3</c:v>
                </c:pt>
                <c:pt idx="5">
                  <c:v>1</c:v>
                </c:pt>
                <c:pt idx="6">
                  <c:v>4</c:v>
                </c:pt>
                <c:pt idx="7">
                  <c:v>1</c:v>
                </c:pt>
                <c:pt idx="8">
                  <c:v>1</c:v>
                </c:pt>
                <c:pt idx="9">
                  <c:v>1</c:v>
                </c:pt>
              </c:numCache>
            </c:numRef>
          </c:val>
          <c:extLst>
            <c:ext xmlns:c16="http://schemas.microsoft.com/office/drawing/2014/chart" uri="{C3380CC4-5D6E-409C-BE32-E72D297353CC}">
              <c16:uniqueId val="{00000003-04C6-4F49-AD8D-2320FB01F0B5}"/>
            </c:ext>
          </c:extLst>
        </c:ser>
        <c:ser>
          <c:idx val="4"/>
          <c:order val="4"/>
          <c:tx>
            <c:strRef>
              <c:f>Import!$AI$91</c:f>
              <c:strCache>
                <c:ptCount val="1"/>
                <c:pt idx="0">
                  <c:v>Rank 5</c:v>
                </c:pt>
              </c:strCache>
            </c:strRef>
          </c:tx>
          <c:spPr>
            <a:solidFill>
              <a:schemeClr val="accent5"/>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Import!$AI$92:$AI$101</c:f>
              <c:numCache>
                <c:formatCode>General</c:formatCode>
                <c:ptCount val="10"/>
                <c:pt idx="0">
                  <c:v>1</c:v>
                </c:pt>
                <c:pt idx="1">
                  <c:v>1</c:v>
                </c:pt>
                <c:pt idx="2">
                  <c:v>3</c:v>
                </c:pt>
                <c:pt idx="3">
                  <c:v>3</c:v>
                </c:pt>
                <c:pt idx="4">
                  <c:v>7</c:v>
                </c:pt>
                <c:pt idx="5">
                  <c:v>6</c:v>
                </c:pt>
                <c:pt idx="6">
                  <c:v>1</c:v>
                </c:pt>
                <c:pt idx="7">
                  <c:v>1</c:v>
                </c:pt>
                <c:pt idx="8">
                  <c:v>1</c:v>
                </c:pt>
                <c:pt idx="9">
                  <c:v>1</c:v>
                </c:pt>
              </c:numCache>
            </c:numRef>
          </c:val>
          <c:extLst>
            <c:ext xmlns:c16="http://schemas.microsoft.com/office/drawing/2014/chart" uri="{C3380CC4-5D6E-409C-BE32-E72D297353CC}">
              <c16:uniqueId val="{00000004-04C6-4F49-AD8D-2320FB01F0B5}"/>
            </c:ext>
          </c:extLst>
        </c:ser>
        <c:ser>
          <c:idx val="5"/>
          <c:order val="5"/>
          <c:tx>
            <c:strRef>
              <c:f>Import!$AJ$91</c:f>
              <c:strCache>
                <c:ptCount val="1"/>
                <c:pt idx="0">
                  <c:v>Rank 6</c:v>
                </c:pt>
              </c:strCache>
            </c:strRef>
          </c:tx>
          <c:spPr>
            <a:solidFill>
              <a:schemeClr val="accent6"/>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Import!$AJ$92:$AJ$101</c:f>
              <c:numCache>
                <c:formatCode>General</c:formatCode>
                <c:ptCount val="10"/>
                <c:pt idx="0">
                  <c:v>1</c:v>
                </c:pt>
                <c:pt idx="1">
                  <c:v>2</c:v>
                </c:pt>
                <c:pt idx="2">
                  <c:v>1</c:v>
                </c:pt>
                <c:pt idx="3">
                  <c:v>3</c:v>
                </c:pt>
                <c:pt idx="4">
                  <c:v>4</c:v>
                </c:pt>
                <c:pt idx="5">
                  <c:v>8</c:v>
                </c:pt>
                <c:pt idx="6">
                  <c:v>2</c:v>
                </c:pt>
                <c:pt idx="7">
                  <c:v>1</c:v>
                </c:pt>
                <c:pt idx="8">
                  <c:v>1</c:v>
                </c:pt>
                <c:pt idx="9">
                  <c:v>2</c:v>
                </c:pt>
              </c:numCache>
            </c:numRef>
          </c:val>
          <c:extLst>
            <c:ext xmlns:c16="http://schemas.microsoft.com/office/drawing/2014/chart" uri="{C3380CC4-5D6E-409C-BE32-E72D297353CC}">
              <c16:uniqueId val="{00000005-04C6-4F49-AD8D-2320FB01F0B5}"/>
            </c:ext>
          </c:extLst>
        </c:ser>
        <c:ser>
          <c:idx val="6"/>
          <c:order val="6"/>
          <c:tx>
            <c:strRef>
              <c:f>Import!$AK$91</c:f>
              <c:strCache>
                <c:ptCount val="1"/>
                <c:pt idx="0">
                  <c:v>Rank 7</c:v>
                </c:pt>
              </c:strCache>
            </c:strRef>
          </c:tx>
          <c:spPr>
            <a:solidFill>
              <a:schemeClr val="accent1">
                <a:lumMod val="6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Import!$AK$92:$AK$101</c:f>
              <c:numCache>
                <c:formatCode>General</c:formatCode>
                <c:ptCount val="10"/>
                <c:pt idx="0">
                  <c:v>2</c:v>
                </c:pt>
                <c:pt idx="1">
                  <c:v>1</c:v>
                </c:pt>
                <c:pt idx="2">
                  <c:v>4</c:v>
                </c:pt>
                <c:pt idx="3">
                  <c:v>2</c:v>
                </c:pt>
                <c:pt idx="4">
                  <c:v>1</c:v>
                </c:pt>
                <c:pt idx="5">
                  <c:v>2</c:v>
                </c:pt>
                <c:pt idx="6">
                  <c:v>5</c:v>
                </c:pt>
                <c:pt idx="7">
                  <c:v>1</c:v>
                </c:pt>
                <c:pt idx="8">
                  <c:v>6</c:v>
                </c:pt>
                <c:pt idx="9">
                  <c:v>1</c:v>
                </c:pt>
              </c:numCache>
            </c:numRef>
          </c:val>
          <c:extLst>
            <c:ext xmlns:c16="http://schemas.microsoft.com/office/drawing/2014/chart" uri="{C3380CC4-5D6E-409C-BE32-E72D297353CC}">
              <c16:uniqueId val="{00000006-04C6-4F49-AD8D-2320FB01F0B5}"/>
            </c:ext>
          </c:extLst>
        </c:ser>
        <c:ser>
          <c:idx val="7"/>
          <c:order val="7"/>
          <c:tx>
            <c:strRef>
              <c:f>Import!$AL$91</c:f>
              <c:strCache>
                <c:ptCount val="1"/>
                <c:pt idx="0">
                  <c:v>Rank 8</c:v>
                </c:pt>
              </c:strCache>
            </c:strRef>
          </c:tx>
          <c:spPr>
            <a:solidFill>
              <a:schemeClr val="accent2">
                <a:lumMod val="6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Import!$AL$92:$AL$101</c:f>
              <c:numCache>
                <c:formatCode>General</c:formatCode>
                <c:ptCount val="10"/>
                <c:pt idx="0">
                  <c:v>1</c:v>
                </c:pt>
                <c:pt idx="1">
                  <c:v>5</c:v>
                </c:pt>
                <c:pt idx="2">
                  <c:v>2</c:v>
                </c:pt>
                <c:pt idx="3">
                  <c:v>2</c:v>
                </c:pt>
                <c:pt idx="4">
                  <c:v>1</c:v>
                </c:pt>
                <c:pt idx="5">
                  <c:v>2</c:v>
                </c:pt>
                <c:pt idx="6">
                  <c:v>3</c:v>
                </c:pt>
                <c:pt idx="7">
                  <c:v>7</c:v>
                </c:pt>
                <c:pt idx="8">
                  <c:v>1</c:v>
                </c:pt>
                <c:pt idx="9">
                  <c:v>1</c:v>
                </c:pt>
              </c:numCache>
            </c:numRef>
          </c:val>
          <c:extLst>
            <c:ext xmlns:c16="http://schemas.microsoft.com/office/drawing/2014/chart" uri="{C3380CC4-5D6E-409C-BE32-E72D297353CC}">
              <c16:uniqueId val="{00000007-04C6-4F49-AD8D-2320FB01F0B5}"/>
            </c:ext>
          </c:extLst>
        </c:ser>
        <c:ser>
          <c:idx val="8"/>
          <c:order val="8"/>
          <c:tx>
            <c:strRef>
              <c:f>Import!$AM$91</c:f>
              <c:strCache>
                <c:ptCount val="1"/>
                <c:pt idx="0">
                  <c:v>Rank 9</c:v>
                </c:pt>
              </c:strCache>
            </c:strRef>
          </c:tx>
          <c:spPr>
            <a:solidFill>
              <a:schemeClr val="accent3">
                <a:lumMod val="6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Import!$AM$92:$AM$101</c:f>
              <c:numCache>
                <c:formatCode>General</c:formatCode>
                <c:ptCount val="10"/>
                <c:pt idx="0">
                  <c:v>4</c:v>
                </c:pt>
                <c:pt idx="1">
                  <c:v>2</c:v>
                </c:pt>
                <c:pt idx="2">
                  <c:v>1</c:v>
                </c:pt>
                <c:pt idx="3">
                  <c:v>1</c:v>
                </c:pt>
                <c:pt idx="4">
                  <c:v>1</c:v>
                </c:pt>
                <c:pt idx="5">
                  <c:v>1</c:v>
                </c:pt>
                <c:pt idx="6">
                  <c:v>2</c:v>
                </c:pt>
                <c:pt idx="7">
                  <c:v>4</c:v>
                </c:pt>
                <c:pt idx="8">
                  <c:v>6</c:v>
                </c:pt>
                <c:pt idx="9">
                  <c:v>3</c:v>
                </c:pt>
              </c:numCache>
            </c:numRef>
          </c:val>
          <c:extLst>
            <c:ext xmlns:c16="http://schemas.microsoft.com/office/drawing/2014/chart" uri="{C3380CC4-5D6E-409C-BE32-E72D297353CC}">
              <c16:uniqueId val="{00000008-04C6-4F49-AD8D-2320FB01F0B5}"/>
            </c:ext>
          </c:extLst>
        </c:ser>
        <c:ser>
          <c:idx val="9"/>
          <c:order val="9"/>
          <c:tx>
            <c:strRef>
              <c:f>Import!$AN$91</c:f>
              <c:strCache>
                <c:ptCount val="1"/>
                <c:pt idx="0">
                  <c:v>Rank 10</c:v>
                </c:pt>
              </c:strCache>
            </c:strRef>
          </c:tx>
          <c:spPr>
            <a:solidFill>
              <a:schemeClr val="accent4">
                <a:lumMod val="60000"/>
              </a:schemeClr>
            </a:solidFill>
            <a:ln>
              <a:noFill/>
            </a:ln>
            <a:effectLst/>
          </c:spPr>
          <c:invertIfNegative val="0"/>
          <c:cat>
            <c:strRef>
              <c:f>Import!$AD$92:$AD$101</c:f>
              <c:strCache>
                <c:ptCount val="10"/>
                <c:pt idx="0">
                  <c:v>Image 1</c:v>
                </c:pt>
                <c:pt idx="1">
                  <c:v>Image 2</c:v>
                </c:pt>
                <c:pt idx="2">
                  <c:v>Image 3</c:v>
                </c:pt>
                <c:pt idx="3">
                  <c:v>Image 4</c:v>
                </c:pt>
                <c:pt idx="4">
                  <c:v>Image 5</c:v>
                </c:pt>
                <c:pt idx="5">
                  <c:v>Image 6</c:v>
                </c:pt>
                <c:pt idx="6">
                  <c:v>Image 7</c:v>
                </c:pt>
                <c:pt idx="7">
                  <c:v>Image 8</c:v>
                </c:pt>
                <c:pt idx="8">
                  <c:v>Image 9</c:v>
                </c:pt>
                <c:pt idx="9">
                  <c:v>Image 10</c:v>
                </c:pt>
              </c:strCache>
            </c:strRef>
          </c:cat>
          <c:val>
            <c:numRef>
              <c:f>Import!$AN$92:$AN$101</c:f>
              <c:numCache>
                <c:formatCode>General</c:formatCode>
                <c:ptCount val="10"/>
                <c:pt idx="0">
                  <c:v>3</c:v>
                </c:pt>
                <c:pt idx="1">
                  <c:v>2</c:v>
                </c:pt>
                <c:pt idx="2">
                  <c:v>1</c:v>
                </c:pt>
                <c:pt idx="3">
                  <c:v>1</c:v>
                </c:pt>
                <c:pt idx="4">
                  <c:v>1</c:v>
                </c:pt>
                <c:pt idx="5">
                  <c:v>1</c:v>
                </c:pt>
                <c:pt idx="6">
                  <c:v>2</c:v>
                </c:pt>
                <c:pt idx="7">
                  <c:v>1</c:v>
                </c:pt>
                <c:pt idx="8">
                  <c:v>3</c:v>
                </c:pt>
                <c:pt idx="9">
                  <c:v>10</c:v>
                </c:pt>
              </c:numCache>
            </c:numRef>
          </c:val>
          <c:extLst>
            <c:ext xmlns:c16="http://schemas.microsoft.com/office/drawing/2014/chart" uri="{C3380CC4-5D6E-409C-BE32-E72D297353CC}">
              <c16:uniqueId val="{00000009-04C6-4F49-AD8D-2320FB01F0B5}"/>
            </c:ext>
          </c:extLst>
        </c:ser>
        <c:dLbls>
          <c:showLegendKey val="0"/>
          <c:showVal val="0"/>
          <c:showCatName val="0"/>
          <c:showSerName val="0"/>
          <c:showPercent val="0"/>
          <c:showBubbleSize val="0"/>
        </c:dLbls>
        <c:gapWidth val="150"/>
        <c:overlap val="100"/>
        <c:axId val="1893189520"/>
        <c:axId val="2049287264"/>
      </c:barChart>
      <c:catAx>
        <c:axId val="1893189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287264"/>
        <c:crosses val="autoZero"/>
        <c:auto val="1"/>
        <c:lblAlgn val="ctr"/>
        <c:lblOffset val="100"/>
        <c:noMultiLvlLbl val="0"/>
      </c:catAx>
      <c:valAx>
        <c:axId val="2049287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931895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Import!$AD$92</c:f>
              <c:strCache>
                <c:ptCount val="1"/>
                <c:pt idx="0">
                  <c:v>Image 1</c:v>
                </c:pt>
              </c:strCache>
            </c:strRef>
          </c:tx>
          <c:spPr>
            <a:solidFill>
              <a:srgbClr val="38AC7F"/>
            </a:solidFill>
            <a:ln>
              <a:noFill/>
            </a:ln>
            <a:effectLst/>
          </c:spPr>
          <c:val>
            <c:numRef>
              <c:f>Import!$AE$92:$AN$92</c:f>
              <c:numCache>
                <c:formatCode>General</c:formatCode>
                <c:ptCount val="10"/>
                <c:pt idx="0">
                  <c:v>9</c:v>
                </c:pt>
                <c:pt idx="1">
                  <c:v>2</c:v>
                </c:pt>
                <c:pt idx="2">
                  <c:v>1</c:v>
                </c:pt>
                <c:pt idx="3">
                  <c:v>1</c:v>
                </c:pt>
                <c:pt idx="4">
                  <c:v>1</c:v>
                </c:pt>
                <c:pt idx="5">
                  <c:v>1</c:v>
                </c:pt>
                <c:pt idx="6">
                  <c:v>2</c:v>
                </c:pt>
                <c:pt idx="7">
                  <c:v>1</c:v>
                </c:pt>
                <c:pt idx="8">
                  <c:v>4</c:v>
                </c:pt>
                <c:pt idx="9">
                  <c:v>3</c:v>
                </c:pt>
              </c:numCache>
            </c:numRef>
          </c:val>
          <c:extLst>
            <c:ext xmlns:c16="http://schemas.microsoft.com/office/drawing/2014/chart" uri="{C3380CC4-5D6E-409C-BE32-E72D297353CC}">
              <c16:uniqueId val="{00000000-FF94-4856-B3F5-BD5BAD7EF86C}"/>
            </c:ext>
          </c:extLst>
        </c:ser>
        <c:dLbls>
          <c:showLegendKey val="0"/>
          <c:showVal val="0"/>
          <c:showCatName val="0"/>
          <c:showSerName val="0"/>
          <c:showPercent val="0"/>
          <c:showBubbleSize val="0"/>
        </c:dLbls>
        <c:axId val="1828110544"/>
        <c:axId val="1866318336"/>
      </c:areaChart>
      <c:catAx>
        <c:axId val="182811054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18336"/>
        <c:crosses val="autoZero"/>
        <c:auto val="1"/>
        <c:lblAlgn val="ctr"/>
        <c:lblOffset val="100"/>
        <c:noMultiLvlLbl val="0"/>
      </c:catAx>
      <c:valAx>
        <c:axId val="186631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1105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Import!$AD$93</c:f>
              <c:strCache>
                <c:ptCount val="1"/>
                <c:pt idx="0">
                  <c:v>Image 2</c:v>
                </c:pt>
              </c:strCache>
            </c:strRef>
          </c:tx>
          <c:spPr>
            <a:solidFill>
              <a:srgbClr val="38AC7F"/>
            </a:solidFill>
            <a:ln>
              <a:noFill/>
            </a:ln>
            <a:effectLst/>
          </c:spPr>
          <c:val>
            <c:numRef>
              <c:f>Import!$AE$93:$AN$93</c:f>
              <c:numCache>
                <c:formatCode>General</c:formatCode>
                <c:ptCount val="10"/>
                <c:pt idx="0">
                  <c:v>1</c:v>
                </c:pt>
                <c:pt idx="1">
                  <c:v>8</c:v>
                </c:pt>
                <c:pt idx="2">
                  <c:v>2</c:v>
                </c:pt>
                <c:pt idx="3">
                  <c:v>1</c:v>
                </c:pt>
                <c:pt idx="4">
                  <c:v>1</c:v>
                </c:pt>
                <c:pt idx="5">
                  <c:v>2</c:v>
                </c:pt>
                <c:pt idx="6">
                  <c:v>1</c:v>
                </c:pt>
                <c:pt idx="7">
                  <c:v>5</c:v>
                </c:pt>
                <c:pt idx="8">
                  <c:v>2</c:v>
                </c:pt>
                <c:pt idx="9">
                  <c:v>2</c:v>
                </c:pt>
              </c:numCache>
            </c:numRef>
          </c:val>
          <c:extLst>
            <c:ext xmlns:c16="http://schemas.microsoft.com/office/drawing/2014/chart" uri="{C3380CC4-5D6E-409C-BE32-E72D297353CC}">
              <c16:uniqueId val="{00000000-808F-480A-A9DA-7E57BBE79E2F}"/>
            </c:ext>
          </c:extLst>
        </c:ser>
        <c:dLbls>
          <c:showLegendKey val="0"/>
          <c:showVal val="0"/>
          <c:showCatName val="0"/>
          <c:showSerName val="0"/>
          <c:showPercent val="0"/>
          <c:showBubbleSize val="0"/>
        </c:dLbls>
        <c:axId val="1740819728"/>
        <c:axId val="1506482640"/>
      </c:areaChart>
      <c:catAx>
        <c:axId val="174081972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82640"/>
        <c:crosses val="autoZero"/>
        <c:auto val="1"/>
        <c:lblAlgn val="ctr"/>
        <c:lblOffset val="100"/>
        <c:noMultiLvlLbl val="0"/>
      </c:catAx>
      <c:valAx>
        <c:axId val="150648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8197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Import!$AD$94</c:f>
              <c:strCache>
                <c:ptCount val="1"/>
                <c:pt idx="0">
                  <c:v>Image 3</c:v>
                </c:pt>
              </c:strCache>
            </c:strRef>
          </c:tx>
          <c:spPr>
            <a:solidFill>
              <a:srgbClr val="38AC7F"/>
            </a:solidFill>
            <a:ln>
              <a:noFill/>
            </a:ln>
            <a:effectLst/>
          </c:spPr>
          <c:val>
            <c:numRef>
              <c:f>Import!$AE$94:$AN$94</c:f>
              <c:numCache>
                <c:formatCode>General</c:formatCode>
                <c:ptCount val="10"/>
                <c:pt idx="0">
                  <c:v>1</c:v>
                </c:pt>
                <c:pt idx="1">
                  <c:v>2</c:v>
                </c:pt>
                <c:pt idx="2">
                  <c:v>8</c:v>
                </c:pt>
                <c:pt idx="3">
                  <c:v>2</c:v>
                </c:pt>
                <c:pt idx="4">
                  <c:v>3</c:v>
                </c:pt>
                <c:pt idx="5">
                  <c:v>1</c:v>
                </c:pt>
                <c:pt idx="6">
                  <c:v>4</c:v>
                </c:pt>
                <c:pt idx="7">
                  <c:v>2</c:v>
                </c:pt>
                <c:pt idx="8">
                  <c:v>1</c:v>
                </c:pt>
                <c:pt idx="9">
                  <c:v>1</c:v>
                </c:pt>
              </c:numCache>
            </c:numRef>
          </c:val>
          <c:extLst>
            <c:ext xmlns:c16="http://schemas.microsoft.com/office/drawing/2014/chart" uri="{C3380CC4-5D6E-409C-BE32-E72D297353CC}">
              <c16:uniqueId val="{00000000-C59C-4501-95A9-E32C1711E87B}"/>
            </c:ext>
          </c:extLst>
        </c:ser>
        <c:dLbls>
          <c:showLegendKey val="0"/>
          <c:showVal val="0"/>
          <c:showCatName val="0"/>
          <c:showSerName val="0"/>
          <c:showPercent val="0"/>
          <c:showBubbleSize val="0"/>
        </c:dLbls>
        <c:axId val="1740787712"/>
        <c:axId val="1506369840"/>
      </c:areaChart>
      <c:catAx>
        <c:axId val="17407877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369840"/>
        <c:crosses val="autoZero"/>
        <c:auto val="1"/>
        <c:lblAlgn val="ctr"/>
        <c:lblOffset val="100"/>
        <c:noMultiLvlLbl val="0"/>
      </c:catAx>
      <c:valAx>
        <c:axId val="150636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7877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Import!$AD$95</c:f>
              <c:strCache>
                <c:ptCount val="1"/>
                <c:pt idx="0">
                  <c:v>Image 4</c:v>
                </c:pt>
              </c:strCache>
            </c:strRef>
          </c:tx>
          <c:spPr>
            <a:solidFill>
              <a:srgbClr val="38AC7F"/>
            </a:solidFill>
            <a:ln>
              <a:noFill/>
            </a:ln>
            <a:effectLst/>
          </c:spPr>
          <c:val>
            <c:numRef>
              <c:f>Import!$AE$95:$AN$95</c:f>
              <c:numCache>
                <c:formatCode>General</c:formatCode>
                <c:ptCount val="10"/>
                <c:pt idx="0">
                  <c:v>1</c:v>
                </c:pt>
                <c:pt idx="1">
                  <c:v>1</c:v>
                </c:pt>
                <c:pt idx="2">
                  <c:v>1</c:v>
                </c:pt>
                <c:pt idx="3">
                  <c:v>10</c:v>
                </c:pt>
                <c:pt idx="4">
                  <c:v>3</c:v>
                </c:pt>
                <c:pt idx="5">
                  <c:v>3</c:v>
                </c:pt>
                <c:pt idx="6">
                  <c:v>2</c:v>
                </c:pt>
                <c:pt idx="7">
                  <c:v>2</c:v>
                </c:pt>
                <c:pt idx="8">
                  <c:v>1</c:v>
                </c:pt>
                <c:pt idx="9">
                  <c:v>1</c:v>
                </c:pt>
              </c:numCache>
            </c:numRef>
          </c:val>
          <c:extLst>
            <c:ext xmlns:c16="http://schemas.microsoft.com/office/drawing/2014/chart" uri="{C3380CC4-5D6E-409C-BE32-E72D297353CC}">
              <c16:uniqueId val="{00000000-A9A6-447F-95CE-430B08BC435A}"/>
            </c:ext>
          </c:extLst>
        </c:ser>
        <c:dLbls>
          <c:showLegendKey val="0"/>
          <c:showVal val="0"/>
          <c:showCatName val="0"/>
          <c:showSerName val="0"/>
          <c:showPercent val="0"/>
          <c:showBubbleSize val="0"/>
        </c:dLbls>
        <c:axId val="1832408752"/>
        <c:axId val="2049263264"/>
      </c:areaChart>
      <c:catAx>
        <c:axId val="183240875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263264"/>
        <c:crosses val="autoZero"/>
        <c:auto val="1"/>
        <c:lblAlgn val="ctr"/>
        <c:lblOffset val="100"/>
        <c:noMultiLvlLbl val="0"/>
      </c:catAx>
      <c:valAx>
        <c:axId val="204926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0875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Import!$AD$96</c:f>
              <c:strCache>
                <c:ptCount val="1"/>
                <c:pt idx="0">
                  <c:v>Image 5</c:v>
                </c:pt>
              </c:strCache>
            </c:strRef>
          </c:tx>
          <c:spPr>
            <a:solidFill>
              <a:srgbClr val="38AC7F"/>
            </a:solidFill>
            <a:ln>
              <a:noFill/>
            </a:ln>
            <a:effectLst/>
          </c:spPr>
          <c:val>
            <c:numRef>
              <c:f>Import!$AE$96:$AN$96</c:f>
              <c:numCache>
                <c:formatCode>General</c:formatCode>
                <c:ptCount val="10"/>
                <c:pt idx="0">
                  <c:v>3</c:v>
                </c:pt>
                <c:pt idx="1">
                  <c:v>2</c:v>
                </c:pt>
                <c:pt idx="2">
                  <c:v>2</c:v>
                </c:pt>
                <c:pt idx="3">
                  <c:v>3</c:v>
                </c:pt>
                <c:pt idx="4">
                  <c:v>7</c:v>
                </c:pt>
                <c:pt idx="5">
                  <c:v>4</c:v>
                </c:pt>
                <c:pt idx="6">
                  <c:v>1</c:v>
                </c:pt>
                <c:pt idx="7">
                  <c:v>1</c:v>
                </c:pt>
                <c:pt idx="8">
                  <c:v>1</c:v>
                </c:pt>
                <c:pt idx="9">
                  <c:v>1</c:v>
                </c:pt>
              </c:numCache>
            </c:numRef>
          </c:val>
          <c:extLst>
            <c:ext xmlns:c16="http://schemas.microsoft.com/office/drawing/2014/chart" uri="{C3380CC4-5D6E-409C-BE32-E72D297353CC}">
              <c16:uniqueId val="{00000000-4447-4406-9B3E-4F6E6C640FEA}"/>
            </c:ext>
          </c:extLst>
        </c:ser>
        <c:dLbls>
          <c:showLegendKey val="0"/>
          <c:showVal val="0"/>
          <c:showCatName val="0"/>
          <c:showSerName val="0"/>
          <c:showPercent val="0"/>
          <c:showBubbleSize val="0"/>
        </c:dLbls>
        <c:axId val="1668539664"/>
        <c:axId val="1506486480"/>
      </c:areaChart>
      <c:catAx>
        <c:axId val="166853966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86480"/>
        <c:crosses val="autoZero"/>
        <c:auto val="1"/>
        <c:lblAlgn val="ctr"/>
        <c:lblOffset val="100"/>
        <c:noMultiLvlLbl val="0"/>
      </c:catAx>
      <c:valAx>
        <c:axId val="1506486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5396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Import!$AD$97</c:f>
              <c:strCache>
                <c:ptCount val="1"/>
                <c:pt idx="0">
                  <c:v>Image 6</c:v>
                </c:pt>
              </c:strCache>
            </c:strRef>
          </c:tx>
          <c:spPr>
            <a:solidFill>
              <a:srgbClr val="38AC7F"/>
            </a:solidFill>
            <a:ln>
              <a:noFill/>
            </a:ln>
            <a:effectLst/>
          </c:spPr>
          <c:val>
            <c:numRef>
              <c:f>Import!$AE$97:$AN$97</c:f>
              <c:numCache>
                <c:formatCode>General</c:formatCode>
                <c:ptCount val="10"/>
                <c:pt idx="0">
                  <c:v>1</c:v>
                </c:pt>
                <c:pt idx="1">
                  <c:v>2</c:v>
                </c:pt>
                <c:pt idx="2">
                  <c:v>1</c:v>
                </c:pt>
                <c:pt idx="3">
                  <c:v>1</c:v>
                </c:pt>
                <c:pt idx="4">
                  <c:v>6</c:v>
                </c:pt>
                <c:pt idx="5">
                  <c:v>8</c:v>
                </c:pt>
                <c:pt idx="6">
                  <c:v>2</c:v>
                </c:pt>
                <c:pt idx="7">
                  <c:v>2</c:v>
                </c:pt>
                <c:pt idx="8">
                  <c:v>1</c:v>
                </c:pt>
                <c:pt idx="9">
                  <c:v>1</c:v>
                </c:pt>
              </c:numCache>
            </c:numRef>
          </c:val>
          <c:extLst>
            <c:ext xmlns:c16="http://schemas.microsoft.com/office/drawing/2014/chart" uri="{C3380CC4-5D6E-409C-BE32-E72D297353CC}">
              <c16:uniqueId val="{00000000-E774-46F3-B7BB-9F29AB253DB0}"/>
            </c:ext>
          </c:extLst>
        </c:ser>
        <c:dLbls>
          <c:showLegendKey val="0"/>
          <c:showVal val="0"/>
          <c:showCatName val="0"/>
          <c:showSerName val="0"/>
          <c:showPercent val="0"/>
          <c:showBubbleSize val="0"/>
        </c:dLbls>
        <c:axId val="2137981024"/>
        <c:axId val="975150288"/>
      </c:areaChart>
      <c:catAx>
        <c:axId val="21379810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150288"/>
        <c:crosses val="autoZero"/>
        <c:auto val="1"/>
        <c:lblAlgn val="ctr"/>
        <c:lblOffset val="100"/>
        <c:noMultiLvlLbl val="0"/>
      </c:catAx>
      <c:valAx>
        <c:axId val="97515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810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Import!$AD$98</c:f>
              <c:strCache>
                <c:ptCount val="1"/>
                <c:pt idx="0">
                  <c:v>Image 7</c:v>
                </c:pt>
              </c:strCache>
            </c:strRef>
          </c:tx>
          <c:spPr>
            <a:solidFill>
              <a:srgbClr val="38AC7F"/>
            </a:solidFill>
            <a:ln>
              <a:noFill/>
            </a:ln>
            <a:effectLst/>
          </c:spPr>
          <c:val>
            <c:numRef>
              <c:f>Import!$AE$98:$AN$98</c:f>
              <c:numCache>
                <c:formatCode>General</c:formatCode>
                <c:ptCount val="10"/>
                <c:pt idx="0">
                  <c:v>1</c:v>
                </c:pt>
                <c:pt idx="1">
                  <c:v>3</c:v>
                </c:pt>
                <c:pt idx="2">
                  <c:v>2</c:v>
                </c:pt>
                <c:pt idx="3">
                  <c:v>4</c:v>
                </c:pt>
                <c:pt idx="4">
                  <c:v>1</c:v>
                </c:pt>
                <c:pt idx="5">
                  <c:v>2</c:v>
                </c:pt>
                <c:pt idx="6">
                  <c:v>5</c:v>
                </c:pt>
                <c:pt idx="7">
                  <c:v>3</c:v>
                </c:pt>
                <c:pt idx="8">
                  <c:v>2</c:v>
                </c:pt>
                <c:pt idx="9">
                  <c:v>2</c:v>
                </c:pt>
              </c:numCache>
            </c:numRef>
          </c:val>
          <c:extLst>
            <c:ext xmlns:c16="http://schemas.microsoft.com/office/drawing/2014/chart" uri="{C3380CC4-5D6E-409C-BE32-E72D297353CC}">
              <c16:uniqueId val="{00000000-4755-46D8-BFBB-B89F0C7AD0B9}"/>
            </c:ext>
          </c:extLst>
        </c:ser>
        <c:dLbls>
          <c:showLegendKey val="0"/>
          <c:showVal val="0"/>
          <c:showCatName val="0"/>
          <c:showSerName val="0"/>
          <c:showPercent val="0"/>
          <c:showBubbleSize val="0"/>
        </c:dLbls>
        <c:axId val="2136591856"/>
        <c:axId val="1975656016"/>
      </c:areaChart>
      <c:catAx>
        <c:axId val="213659185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656016"/>
        <c:crosses val="autoZero"/>
        <c:auto val="1"/>
        <c:lblAlgn val="ctr"/>
        <c:lblOffset val="100"/>
        <c:noMultiLvlLbl val="0"/>
      </c:catAx>
      <c:valAx>
        <c:axId val="197565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9185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Import!$AD$99</c:f>
              <c:strCache>
                <c:ptCount val="1"/>
                <c:pt idx="0">
                  <c:v>Image 8</c:v>
                </c:pt>
              </c:strCache>
            </c:strRef>
          </c:tx>
          <c:spPr>
            <a:solidFill>
              <a:srgbClr val="38AC7F"/>
            </a:solidFill>
            <a:ln>
              <a:noFill/>
            </a:ln>
            <a:effectLst/>
          </c:spPr>
          <c:val>
            <c:numRef>
              <c:f>Import!$AE$99:$AN$99</c:f>
              <c:numCache>
                <c:formatCode>General</c:formatCode>
                <c:ptCount val="10"/>
                <c:pt idx="0">
                  <c:v>1</c:v>
                </c:pt>
                <c:pt idx="1">
                  <c:v>2</c:v>
                </c:pt>
                <c:pt idx="2">
                  <c:v>6</c:v>
                </c:pt>
                <c:pt idx="3">
                  <c:v>1</c:v>
                </c:pt>
                <c:pt idx="4">
                  <c:v>1</c:v>
                </c:pt>
                <c:pt idx="5">
                  <c:v>1</c:v>
                </c:pt>
                <c:pt idx="6">
                  <c:v>1</c:v>
                </c:pt>
                <c:pt idx="7">
                  <c:v>7</c:v>
                </c:pt>
                <c:pt idx="8">
                  <c:v>4</c:v>
                </c:pt>
                <c:pt idx="9">
                  <c:v>1</c:v>
                </c:pt>
              </c:numCache>
            </c:numRef>
          </c:val>
          <c:extLst>
            <c:ext xmlns:c16="http://schemas.microsoft.com/office/drawing/2014/chart" uri="{C3380CC4-5D6E-409C-BE32-E72D297353CC}">
              <c16:uniqueId val="{00000000-DEBB-4829-9D4B-4234CA5CB61C}"/>
            </c:ext>
          </c:extLst>
        </c:ser>
        <c:dLbls>
          <c:showLegendKey val="0"/>
          <c:showVal val="0"/>
          <c:showCatName val="0"/>
          <c:showSerName val="0"/>
          <c:showPercent val="0"/>
          <c:showBubbleSize val="0"/>
        </c:dLbls>
        <c:axId val="2131693424"/>
        <c:axId val="1866330816"/>
      </c:areaChart>
      <c:catAx>
        <c:axId val="21316934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30816"/>
        <c:crosses val="autoZero"/>
        <c:auto val="1"/>
        <c:lblAlgn val="ctr"/>
        <c:lblOffset val="100"/>
        <c:noMultiLvlLbl val="0"/>
      </c:catAx>
      <c:valAx>
        <c:axId val="186633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6934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Import!$AD$100</c:f>
              <c:strCache>
                <c:ptCount val="1"/>
                <c:pt idx="0">
                  <c:v>Image 9</c:v>
                </c:pt>
              </c:strCache>
            </c:strRef>
          </c:tx>
          <c:spPr>
            <a:solidFill>
              <a:srgbClr val="38AC7F"/>
            </a:solidFill>
            <a:ln>
              <a:noFill/>
            </a:ln>
            <a:effectLst/>
          </c:spPr>
          <c:val>
            <c:numRef>
              <c:f>Import!$AE$100:$AN$100</c:f>
              <c:numCache>
                <c:formatCode>General</c:formatCode>
                <c:ptCount val="10"/>
                <c:pt idx="0">
                  <c:v>3</c:v>
                </c:pt>
                <c:pt idx="1">
                  <c:v>2</c:v>
                </c:pt>
                <c:pt idx="2">
                  <c:v>1</c:v>
                </c:pt>
                <c:pt idx="3">
                  <c:v>1</c:v>
                </c:pt>
                <c:pt idx="4">
                  <c:v>1</c:v>
                </c:pt>
                <c:pt idx="5">
                  <c:v>1</c:v>
                </c:pt>
                <c:pt idx="6">
                  <c:v>6</c:v>
                </c:pt>
                <c:pt idx="7">
                  <c:v>1</c:v>
                </c:pt>
                <c:pt idx="8">
                  <c:v>6</c:v>
                </c:pt>
                <c:pt idx="9">
                  <c:v>3</c:v>
                </c:pt>
              </c:numCache>
            </c:numRef>
          </c:val>
          <c:extLst>
            <c:ext xmlns:c16="http://schemas.microsoft.com/office/drawing/2014/chart" uri="{C3380CC4-5D6E-409C-BE32-E72D297353CC}">
              <c16:uniqueId val="{00000000-22CB-4616-B2EC-7705FB50CC79}"/>
            </c:ext>
          </c:extLst>
        </c:ser>
        <c:dLbls>
          <c:showLegendKey val="0"/>
          <c:showVal val="0"/>
          <c:showCatName val="0"/>
          <c:showSerName val="0"/>
          <c:showPercent val="0"/>
          <c:showBubbleSize val="0"/>
        </c:dLbls>
        <c:axId val="2131724512"/>
        <c:axId val="1506491760"/>
      </c:areaChart>
      <c:catAx>
        <c:axId val="21317245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91760"/>
        <c:crosses val="autoZero"/>
        <c:auto val="1"/>
        <c:lblAlgn val="ctr"/>
        <c:lblOffset val="100"/>
        <c:noMultiLvlLbl val="0"/>
      </c:catAx>
      <c:valAx>
        <c:axId val="150649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7245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Import!$AD$101</c:f>
              <c:strCache>
                <c:ptCount val="1"/>
                <c:pt idx="0">
                  <c:v>Image 10</c:v>
                </c:pt>
              </c:strCache>
            </c:strRef>
          </c:tx>
          <c:spPr>
            <a:solidFill>
              <a:srgbClr val="38AC7F"/>
            </a:solidFill>
            <a:ln>
              <a:noFill/>
            </a:ln>
            <a:effectLst/>
          </c:spPr>
          <c:val>
            <c:numRef>
              <c:f>Import!$AE$101:$AN$101</c:f>
              <c:numCache>
                <c:formatCode>General</c:formatCode>
                <c:ptCount val="10"/>
                <c:pt idx="0">
                  <c:v>4</c:v>
                </c:pt>
                <c:pt idx="1">
                  <c:v>1</c:v>
                </c:pt>
                <c:pt idx="2">
                  <c:v>1</c:v>
                </c:pt>
                <c:pt idx="3">
                  <c:v>1</c:v>
                </c:pt>
                <c:pt idx="4">
                  <c:v>1</c:v>
                </c:pt>
                <c:pt idx="5">
                  <c:v>2</c:v>
                </c:pt>
                <c:pt idx="6">
                  <c:v>1</c:v>
                </c:pt>
                <c:pt idx="7">
                  <c:v>1</c:v>
                </c:pt>
                <c:pt idx="8">
                  <c:v>3</c:v>
                </c:pt>
                <c:pt idx="9">
                  <c:v>10</c:v>
                </c:pt>
              </c:numCache>
            </c:numRef>
          </c:val>
          <c:extLst>
            <c:ext xmlns:c16="http://schemas.microsoft.com/office/drawing/2014/chart" uri="{C3380CC4-5D6E-409C-BE32-E72D297353CC}">
              <c16:uniqueId val="{00000000-3725-4C44-8C41-67EF4E508540}"/>
            </c:ext>
          </c:extLst>
        </c:ser>
        <c:dLbls>
          <c:showLegendKey val="0"/>
          <c:showVal val="0"/>
          <c:showCatName val="0"/>
          <c:showSerName val="0"/>
          <c:showPercent val="0"/>
          <c:showBubbleSize val="0"/>
        </c:dLbls>
        <c:axId val="1735652448"/>
        <c:axId val="1506462000"/>
      </c:areaChart>
      <c:catAx>
        <c:axId val="173565244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62000"/>
        <c:crosses val="autoZero"/>
        <c:auto val="1"/>
        <c:lblAlgn val="ctr"/>
        <c:lblOffset val="100"/>
        <c:noMultiLvlLbl val="0"/>
      </c:catAx>
      <c:valAx>
        <c:axId val="1506462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565244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Not prefered as atypical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[1]Import!$AD$96</c:f>
              <c:strCache>
                <c:ptCount val="1"/>
                <c:pt idx="0">
                  <c:v>Image 5</c:v>
                </c:pt>
              </c:strCache>
            </c:strRef>
          </c:tx>
          <c:spPr>
            <a:solidFill>
              <a:srgbClr val="294551"/>
            </a:solidFill>
            <a:ln>
              <a:noFill/>
            </a:ln>
            <a:effectLst/>
          </c:spPr>
          <c:val>
            <c:numRef>
              <c:f>[1]Import!$AE$96:$AN$96</c:f>
              <c:numCache>
                <c:formatCode>General</c:formatCode>
                <c:ptCount val="10"/>
                <c:pt idx="0">
                  <c:v>3</c:v>
                </c:pt>
                <c:pt idx="1">
                  <c:v>2</c:v>
                </c:pt>
                <c:pt idx="2">
                  <c:v>2</c:v>
                </c:pt>
                <c:pt idx="3">
                  <c:v>3</c:v>
                </c:pt>
                <c:pt idx="4">
                  <c:v>6</c:v>
                </c:pt>
                <c:pt idx="5">
                  <c:v>4</c:v>
                </c:pt>
                <c:pt idx="6">
                  <c:v>1</c:v>
                </c:pt>
                <c:pt idx="7">
                  <c:v>1</c:v>
                </c:pt>
                <c:pt idx="8">
                  <c:v>1</c:v>
                </c:pt>
                <c:pt idx="9">
                  <c:v>1</c:v>
                </c:pt>
              </c:numCache>
            </c:numRef>
          </c:val>
          <c:extLst>
            <c:ext xmlns:c16="http://schemas.microsoft.com/office/drawing/2014/chart" uri="{C3380CC4-5D6E-409C-BE32-E72D297353CC}">
              <c16:uniqueId val="{00000000-2738-489A-AE2C-14213F91516F}"/>
            </c:ext>
          </c:extLst>
        </c:ser>
        <c:dLbls>
          <c:showLegendKey val="0"/>
          <c:showVal val="0"/>
          <c:showCatName val="0"/>
          <c:showSerName val="0"/>
          <c:showPercent val="0"/>
          <c:showBubbleSize val="0"/>
        </c:dLbls>
        <c:axId val="1668539664"/>
        <c:axId val="1506486480"/>
      </c:areaChart>
      <c:catAx>
        <c:axId val="166853966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86480"/>
        <c:crosses val="autoZero"/>
        <c:auto val="1"/>
        <c:lblAlgn val="ctr"/>
        <c:lblOffset val="100"/>
        <c:noMultiLvlLbl val="0"/>
      </c:catAx>
      <c:valAx>
        <c:axId val="15064864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6853966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 this as neutral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[1]Import!$AD$97</c:f>
              <c:strCache>
                <c:ptCount val="1"/>
                <c:pt idx="0">
                  <c:v>Image 6</c:v>
                </c:pt>
              </c:strCache>
            </c:strRef>
          </c:tx>
          <c:spPr>
            <a:solidFill>
              <a:srgbClr val="294551"/>
            </a:solidFill>
            <a:ln>
              <a:noFill/>
            </a:ln>
            <a:effectLst/>
          </c:spPr>
          <c:val>
            <c:numRef>
              <c:f>[1]Import!$AE$97:$AN$97</c:f>
              <c:numCache>
                <c:formatCode>General</c:formatCode>
                <c:ptCount val="10"/>
                <c:pt idx="0">
                  <c:v>1</c:v>
                </c:pt>
                <c:pt idx="1">
                  <c:v>2</c:v>
                </c:pt>
                <c:pt idx="2">
                  <c:v>1</c:v>
                </c:pt>
                <c:pt idx="3">
                  <c:v>1</c:v>
                </c:pt>
                <c:pt idx="4">
                  <c:v>6</c:v>
                </c:pt>
                <c:pt idx="5">
                  <c:v>7</c:v>
                </c:pt>
                <c:pt idx="6">
                  <c:v>2</c:v>
                </c:pt>
                <c:pt idx="7">
                  <c:v>2</c:v>
                </c:pt>
                <c:pt idx="8">
                  <c:v>1</c:v>
                </c:pt>
                <c:pt idx="9">
                  <c:v>1</c:v>
                </c:pt>
              </c:numCache>
            </c:numRef>
          </c:val>
          <c:extLst>
            <c:ext xmlns:c16="http://schemas.microsoft.com/office/drawing/2014/chart" uri="{C3380CC4-5D6E-409C-BE32-E72D297353CC}">
              <c16:uniqueId val="{00000000-E79B-4315-AFAC-40CD8254CA49}"/>
            </c:ext>
          </c:extLst>
        </c:ser>
        <c:dLbls>
          <c:showLegendKey val="0"/>
          <c:showVal val="0"/>
          <c:showCatName val="0"/>
          <c:showSerName val="0"/>
          <c:showPercent val="0"/>
          <c:showBubbleSize val="0"/>
        </c:dLbls>
        <c:axId val="2137981024"/>
        <c:axId val="975150288"/>
      </c:areaChart>
      <c:catAx>
        <c:axId val="21379810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150288"/>
        <c:crosses val="autoZero"/>
        <c:auto val="1"/>
        <c:lblAlgn val="ctr"/>
        <c:lblOffset val="100"/>
        <c:noMultiLvlLbl val="0"/>
      </c:catAx>
      <c:valAx>
        <c:axId val="9751502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79810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 Subgroups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[1]Import!$AD$98</c:f>
              <c:strCache>
                <c:ptCount val="1"/>
                <c:pt idx="0">
                  <c:v>Image 7</c:v>
                </c:pt>
              </c:strCache>
            </c:strRef>
          </c:tx>
          <c:spPr>
            <a:solidFill>
              <a:srgbClr val="294551"/>
            </a:solidFill>
            <a:ln>
              <a:noFill/>
            </a:ln>
            <a:effectLst/>
          </c:spPr>
          <c:val>
            <c:numRef>
              <c:f>[1]Import!$AE$98:$AN$98</c:f>
              <c:numCache>
                <c:formatCode>General</c:formatCode>
                <c:ptCount val="10"/>
                <c:pt idx="0">
                  <c:v>1</c:v>
                </c:pt>
                <c:pt idx="1">
                  <c:v>3</c:v>
                </c:pt>
                <c:pt idx="2">
                  <c:v>2</c:v>
                </c:pt>
                <c:pt idx="3">
                  <c:v>4</c:v>
                </c:pt>
                <c:pt idx="4">
                  <c:v>1</c:v>
                </c:pt>
                <c:pt idx="5">
                  <c:v>2</c:v>
                </c:pt>
                <c:pt idx="6">
                  <c:v>4</c:v>
                </c:pt>
                <c:pt idx="7">
                  <c:v>3</c:v>
                </c:pt>
                <c:pt idx="8">
                  <c:v>2</c:v>
                </c:pt>
                <c:pt idx="9">
                  <c:v>2</c:v>
                </c:pt>
              </c:numCache>
            </c:numRef>
          </c:val>
          <c:extLst>
            <c:ext xmlns:c16="http://schemas.microsoft.com/office/drawing/2014/chart" uri="{C3380CC4-5D6E-409C-BE32-E72D297353CC}">
              <c16:uniqueId val="{00000000-CB60-4323-8D25-2D19DF815D59}"/>
            </c:ext>
          </c:extLst>
        </c:ser>
        <c:dLbls>
          <c:showLegendKey val="0"/>
          <c:showVal val="0"/>
          <c:showCatName val="0"/>
          <c:showSerName val="0"/>
          <c:showPercent val="0"/>
          <c:showBubbleSize val="0"/>
        </c:dLbls>
        <c:axId val="2136591856"/>
        <c:axId val="1975656016"/>
      </c:areaChart>
      <c:catAx>
        <c:axId val="2136591856"/>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5656016"/>
        <c:crosses val="autoZero"/>
        <c:auto val="1"/>
        <c:lblAlgn val="ctr"/>
        <c:lblOffset val="100"/>
        <c:noMultiLvlLbl val="0"/>
      </c:catAx>
      <c:valAx>
        <c:axId val="1975656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6591856"/>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 extreme subgrouos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[1]Import!$AD$99</c:f>
              <c:strCache>
                <c:ptCount val="1"/>
                <c:pt idx="0">
                  <c:v>Image 8</c:v>
                </c:pt>
              </c:strCache>
            </c:strRef>
          </c:tx>
          <c:spPr>
            <a:solidFill>
              <a:srgbClr val="294551"/>
            </a:solidFill>
            <a:ln>
              <a:noFill/>
            </a:ln>
            <a:effectLst/>
          </c:spPr>
          <c:val>
            <c:numRef>
              <c:f>[1]Import!$AE$99:$AN$99</c:f>
              <c:numCache>
                <c:formatCode>General</c:formatCode>
                <c:ptCount val="10"/>
                <c:pt idx="0">
                  <c:v>1</c:v>
                </c:pt>
                <c:pt idx="1">
                  <c:v>2</c:v>
                </c:pt>
                <c:pt idx="2">
                  <c:v>6</c:v>
                </c:pt>
                <c:pt idx="3">
                  <c:v>1</c:v>
                </c:pt>
                <c:pt idx="4">
                  <c:v>1</c:v>
                </c:pt>
                <c:pt idx="5">
                  <c:v>1</c:v>
                </c:pt>
                <c:pt idx="6">
                  <c:v>1</c:v>
                </c:pt>
                <c:pt idx="7">
                  <c:v>6</c:v>
                </c:pt>
                <c:pt idx="8">
                  <c:v>4</c:v>
                </c:pt>
                <c:pt idx="9">
                  <c:v>1</c:v>
                </c:pt>
              </c:numCache>
            </c:numRef>
          </c:val>
          <c:extLst>
            <c:ext xmlns:c16="http://schemas.microsoft.com/office/drawing/2014/chart" uri="{C3380CC4-5D6E-409C-BE32-E72D297353CC}">
              <c16:uniqueId val="{00000000-8E56-4C0B-846F-3C178BF5575D}"/>
            </c:ext>
          </c:extLst>
        </c:ser>
        <c:dLbls>
          <c:showLegendKey val="0"/>
          <c:showVal val="0"/>
          <c:showCatName val="0"/>
          <c:showSerName val="0"/>
          <c:showPercent val="0"/>
          <c:showBubbleSize val="0"/>
        </c:dLbls>
        <c:axId val="2131693424"/>
        <c:axId val="1866330816"/>
      </c:areaChart>
      <c:catAx>
        <c:axId val="213169342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30816"/>
        <c:crosses val="autoZero"/>
        <c:auto val="1"/>
        <c:lblAlgn val="ctr"/>
        <c:lblOffset val="100"/>
        <c:noMultiLvlLbl val="0"/>
      </c:catAx>
      <c:valAx>
        <c:axId val="186633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69342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sz="1400" b="0" i="0" u="none" strike="noStrike" baseline="0"/>
              <a:t>Subgroups based on atypicality level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[1]Import!$AD$100</c:f>
              <c:strCache>
                <c:ptCount val="1"/>
                <c:pt idx="0">
                  <c:v>Image 9</c:v>
                </c:pt>
              </c:strCache>
            </c:strRef>
          </c:tx>
          <c:spPr>
            <a:solidFill>
              <a:srgbClr val="294551"/>
            </a:solidFill>
            <a:ln>
              <a:noFill/>
            </a:ln>
            <a:effectLst/>
          </c:spPr>
          <c:val>
            <c:numRef>
              <c:f>[1]Import!$AE$100:$AN$100</c:f>
              <c:numCache>
                <c:formatCode>General</c:formatCode>
                <c:ptCount val="10"/>
                <c:pt idx="0">
                  <c:v>3</c:v>
                </c:pt>
                <c:pt idx="1">
                  <c:v>2</c:v>
                </c:pt>
                <c:pt idx="2">
                  <c:v>1</c:v>
                </c:pt>
                <c:pt idx="3">
                  <c:v>1</c:v>
                </c:pt>
                <c:pt idx="4">
                  <c:v>1</c:v>
                </c:pt>
                <c:pt idx="5">
                  <c:v>1</c:v>
                </c:pt>
                <c:pt idx="6">
                  <c:v>6</c:v>
                </c:pt>
                <c:pt idx="7">
                  <c:v>1</c:v>
                </c:pt>
                <c:pt idx="8">
                  <c:v>5</c:v>
                </c:pt>
                <c:pt idx="9">
                  <c:v>3</c:v>
                </c:pt>
              </c:numCache>
            </c:numRef>
          </c:val>
          <c:extLst>
            <c:ext xmlns:c16="http://schemas.microsoft.com/office/drawing/2014/chart" uri="{C3380CC4-5D6E-409C-BE32-E72D297353CC}">
              <c16:uniqueId val="{00000000-463D-4D5D-A1C6-903C6BFA04E3}"/>
            </c:ext>
          </c:extLst>
        </c:ser>
        <c:dLbls>
          <c:showLegendKey val="0"/>
          <c:showVal val="0"/>
          <c:showCatName val="0"/>
          <c:showSerName val="0"/>
          <c:showPercent val="0"/>
          <c:showBubbleSize val="0"/>
        </c:dLbls>
        <c:axId val="2131724512"/>
        <c:axId val="1506491760"/>
      </c:areaChart>
      <c:catAx>
        <c:axId val="21317245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91760"/>
        <c:crosses val="autoZero"/>
        <c:auto val="1"/>
        <c:lblAlgn val="ctr"/>
        <c:lblOffset val="100"/>
        <c:noMultiLvlLbl val="0"/>
      </c:catAx>
      <c:valAx>
        <c:axId val="1506491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317245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 subgroups, with further 2 subgroups for atypical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[1]Import!$AD$92</c:f>
              <c:strCache>
                <c:ptCount val="1"/>
                <c:pt idx="0">
                  <c:v>Image 1</c:v>
                </c:pt>
              </c:strCache>
            </c:strRef>
          </c:tx>
          <c:spPr>
            <a:solidFill>
              <a:srgbClr val="294551"/>
            </a:solidFill>
            <a:ln>
              <a:noFill/>
            </a:ln>
            <a:effectLst/>
          </c:spPr>
          <c:val>
            <c:numRef>
              <c:f>[1]Import!$AE$92:$AN$92</c:f>
              <c:numCache>
                <c:formatCode>General</c:formatCode>
                <c:ptCount val="10"/>
                <c:pt idx="0">
                  <c:v>8</c:v>
                </c:pt>
                <c:pt idx="1">
                  <c:v>2</c:v>
                </c:pt>
                <c:pt idx="2">
                  <c:v>1</c:v>
                </c:pt>
                <c:pt idx="3">
                  <c:v>1</c:v>
                </c:pt>
                <c:pt idx="4">
                  <c:v>1</c:v>
                </c:pt>
                <c:pt idx="5">
                  <c:v>1</c:v>
                </c:pt>
                <c:pt idx="6">
                  <c:v>2</c:v>
                </c:pt>
                <c:pt idx="7">
                  <c:v>1</c:v>
                </c:pt>
                <c:pt idx="8">
                  <c:v>4</c:v>
                </c:pt>
                <c:pt idx="9">
                  <c:v>3</c:v>
                </c:pt>
              </c:numCache>
            </c:numRef>
          </c:val>
          <c:extLst>
            <c:ext xmlns:c16="http://schemas.microsoft.com/office/drawing/2014/chart" uri="{C3380CC4-5D6E-409C-BE32-E72D297353CC}">
              <c16:uniqueId val="{00000000-2A89-4F61-B75A-2C6D55B03115}"/>
            </c:ext>
          </c:extLst>
        </c:ser>
        <c:dLbls>
          <c:showLegendKey val="0"/>
          <c:showVal val="0"/>
          <c:showCatName val="0"/>
          <c:showSerName val="0"/>
          <c:showPercent val="0"/>
          <c:showBubbleSize val="0"/>
        </c:dLbls>
        <c:axId val="1828110544"/>
        <c:axId val="1866318336"/>
      </c:areaChart>
      <c:catAx>
        <c:axId val="1828110544"/>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66318336"/>
        <c:crosses val="autoZero"/>
        <c:auto val="1"/>
        <c:lblAlgn val="ctr"/>
        <c:lblOffset val="100"/>
        <c:noMultiLvlLbl val="0"/>
      </c:catAx>
      <c:valAx>
        <c:axId val="1866318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28110544"/>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kern="1200" spc="0" baseline="0">
                <a:solidFill>
                  <a:sysClr val="windowText" lastClr="000000">
                    <a:lumMod val="65000"/>
                    <a:lumOff val="35000"/>
                  </a:sysClr>
                </a:solidFill>
              </a:rPr>
              <a:t>2 major subgroups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[1]Import!$AD$93</c:f>
              <c:strCache>
                <c:ptCount val="1"/>
                <c:pt idx="0">
                  <c:v>Image 2</c:v>
                </c:pt>
              </c:strCache>
            </c:strRef>
          </c:tx>
          <c:spPr>
            <a:solidFill>
              <a:srgbClr val="294551"/>
            </a:solidFill>
            <a:ln>
              <a:noFill/>
            </a:ln>
            <a:effectLst/>
          </c:spPr>
          <c:val>
            <c:numRef>
              <c:f>[1]Import!$AE$93:$AN$93</c:f>
              <c:numCache>
                <c:formatCode>General</c:formatCode>
                <c:ptCount val="10"/>
                <c:pt idx="0">
                  <c:v>1</c:v>
                </c:pt>
                <c:pt idx="1">
                  <c:v>7</c:v>
                </c:pt>
                <c:pt idx="2">
                  <c:v>2</c:v>
                </c:pt>
                <c:pt idx="3">
                  <c:v>1</c:v>
                </c:pt>
                <c:pt idx="4">
                  <c:v>1</c:v>
                </c:pt>
                <c:pt idx="5">
                  <c:v>2</c:v>
                </c:pt>
                <c:pt idx="6">
                  <c:v>1</c:v>
                </c:pt>
                <c:pt idx="7">
                  <c:v>5</c:v>
                </c:pt>
                <c:pt idx="8">
                  <c:v>2</c:v>
                </c:pt>
                <c:pt idx="9">
                  <c:v>2</c:v>
                </c:pt>
              </c:numCache>
            </c:numRef>
          </c:val>
          <c:extLst>
            <c:ext xmlns:c16="http://schemas.microsoft.com/office/drawing/2014/chart" uri="{C3380CC4-5D6E-409C-BE32-E72D297353CC}">
              <c16:uniqueId val="{00000000-B98A-4F24-8736-AFFF69742A58}"/>
            </c:ext>
          </c:extLst>
        </c:ser>
        <c:dLbls>
          <c:showLegendKey val="0"/>
          <c:showVal val="0"/>
          <c:showCatName val="0"/>
          <c:showSerName val="0"/>
          <c:showPercent val="0"/>
          <c:showBubbleSize val="0"/>
        </c:dLbls>
        <c:axId val="1740819728"/>
        <c:axId val="1506482640"/>
      </c:areaChart>
      <c:catAx>
        <c:axId val="1740819728"/>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482640"/>
        <c:crosses val="autoZero"/>
        <c:auto val="1"/>
        <c:lblAlgn val="ctr"/>
        <c:lblOffset val="100"/>
        <c:noMultiLvlLbl val="0"/>
      </c:catAx>
      <c:valAx>
        <c:axId val="1506482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819728"/>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a:t>
            </a:r>
            <a:r>
              <a:rPr lang="en-US" baseline="0"/>
              <a:t> sub groups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[1]Import!$AD$94</c:f>
              <c:strCache>
                <c:ptCount val="1"/>
                <c:pt idx="0">
                  <c:v>Image 3</c:v>
                </c:pt>
              </c:strCache>
            </c:strRef>
          </c:tx>
          <c:spPr>
            <a:solidFill>
              <a:srgbClr val="294551"/>
            </a:solidFill>
            <a:ln>
              <a:noFill/>
            </a:ln>
            <a:effectLst/>
          </c:spPr>
          <c:val>
            <c:numRef>
              <c:f>[1]Import!$AE$94:$AN$94</c:f>
              <c:numCache>
                <c:formatCode>General</c:formatCode>
                <c:ptCount val="10"/>
                <c:pt idx="0">
                  <c:v>1</c:v>
                </c:pt>
                <c:pt idx="1">
                  <c:v>2</c:v>
                </c:pt>
                <c:pt idx="2">
                  <c:v>7</c:v>
                </c:pt>
                <c:pt idx="3">
                  <c:v>2</c:v>
                </c:pt>
                <c:pt idx="4">
                  <c:v>3</c:v>
                </c:pt>
                <c:pt idx="5">
                  <c:v>1</c:v>
                </c:pt>
                <c:pt idx="6">
                  <c:v>4</c:v>
                </c:pt>
                <c:pt idx="7">
                  <c:v>2</c:v>
                </c:pt>
                <c:pt idx="8">
                  <c:v>1</c:v>
                </c:pt>
                <c:pt idx="9">
                  <c:v>1</c:v>
                </c:pt>
              </c:numCache>
            </c:numRef>
          </c:val>
          <c:extLst>
            <c:ext xmlns:c16="http://schemas.microsoft.com/office/drawing/2014/chart" uri="{C3380CC4-5D6E-409C-BE32-E72D297353CC}">
              <c16:uniqueId val="{00000000-8AB8-4B24-AB77-A5EA38D49AF6}"/>
            </c:ext>
          </c:extLst>
        </c:ser>
        <c:dLbls>
          <c:showLegendKey val="0"/>
          <c:showVal val="0"/>
          <c:showCatName val="0"/>
          <c:showSerName val="0"/>
          <c:showPercent val="0"/>
          <c:showBubbleSize val="0"/>
        </c:dLbls>
        <c:axId val="1740787712"/>
        <c:axId val="1506369840"/>
      </c:areaChart>
      <c:catAx>
        <c:axId val="174078771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6369840"/>
        <c:crosses val="autoZero"/>
        <c:auto val="1"/>
        <c:lblAlgn val="ctr"/>
        <c:lblOffset val="100"/>
        <c:noMultiLvlLbl val="0"/>
      </c:catAx>
      <c:valAx>
        <c:axId val="150636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078771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Not prefered as typical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[1]Import!$AD$95</c:f>
              <c:strCache>
                <c:ptCount val="1"/>
                <c:pt idx="0">
                  <c:v>Image 4</c:v>
                </c:pt>
              </c:strCache>
            </c:strRef>
          </c:tx>
          <c:spPr>
            <a:solidFill>
              <a:srgbClr val="294551"/>
            </a:solidFill>
            <a:ln>
              <a:noFill/>
            </a:ln>
            <a:effectLst/>
          </c:spPr>
          <c:val>
            <c:numRef>
              <c:f>[1]Import!$AE$95:$AN$95</c:f>
              <c:numCache>
                <c:formatCode>General</c:formatCode>
                <c:ptCount val="10"/>
                <c:pt idx="0">
                  <c:v>1</c:v>
                </c:pt>
                <c:pt idx="1">
                  <c:v>1</c:v>
                </c:pt>
                <c:pt idx="2">
                  <c:v>1</c:v>
                </c:pt>
                <c:pt idx="3">
                  <c:v>9</c:v>
                </c:pt>
                <c:pt idx="4">
                  <c:v>3</c:v>
                </c:pt>
                <c:pt idx="5">
                  <c:v>3</c:v>
                </c:pt>
                <c:pt idx="6">
                  <c:v>2</c:v>
                </c:pt>
                <c:pt idx="7">
                  <c:v>2</c:v>
                </c:pt>
                <c:pt idx="8">
                  <c:v>1</c:v>
                </c:pt>
                <c:pt idx="9">
                  <c:v>1</c:v>
                </c:pt>
              </c:numCache>
            </c:numRef>
          </c:val>
          <c:extLst>
            <c:ext xmlns:c16="http://schemas.microsoft.com/office/drawing/2014/chart" uri="{C3380CC4-5D6E-409C-BE32-E72D297353CC}">
              <c16:uniqueId val="{00000000-C0FC-4084-83DD-7A2BCD58C5E2}"/>
            </c:ext>
          </c:extLst>
        </c:ser>
        <c:dLbls>
          <c:showLegendKey val="0"/>
          <c:showVal val="0"/>
          <c:showCatName val="0"/>
          <c:showSerName val="0"/>
          <c:showPercent val="0"/>
          <c:showBubbleSize val="0"/>
        </c:dLbls>
        <c:axId val="1832408752"/>
        <c:axId val="2049263264"/>
      </c:areaChart>
      <c:catAx>
        <c:axId val="1832408752"/>
        <c:scaling>
          <c:orientation val="minMax"/>
        </c:scaling>
        <c:delete val="0"/>
        <c:axPos val="b"/>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263264"/>
        <c:crosses val="autoZero"/>
        <c:auto val="1"/>
        <c:lblAlgn val="ctr"/>
        <c:lblOffset val="100"/>
        <c:noMultiLvlLbl val="0"/>
      </c:catAx>
      <c:valAx>
        <c:axId val="20492632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2408752"/>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hyperlink" Target="#'Data Recording'!G2"/><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hyperlink" Target="#Help!G2"/><Relationship Id="rId6" Type="http://schemas.openxmlformats.org/officeDocument/2006/relationships/image" Target="../media/image5.png"/><Relationship Id="rId11" Type="http://schemas.openxmlformats.org/officeDocument/2006/relationships/image" Target="../media/image9.png"/><Relationship Id="rId5" Type="http://schemas.openxmlformats.org/officeDocument/2006/relationships/image" Target="../media/image4.png"/><Relationship Id="rId10" Type="http://schemas.openxmlformats.org/officeDocument/2006/relationships/image" Target="../media/image8.png"/><Relationship Id="rId4" Type="http://schemas.openxmlformats.org/officeDocument/2006/relationships/image" Target="../media/image3.png"/><Relationship Id="rId9" Type="http://schemas.openxmlformats.org/officeDocument/2006/relationships/hyperlink" Target="http://www.sustainability-and-social-innovation.com/home.html" TargetMode="External"/><Relationship Id="rId14" Type="http://schemas.openxmlformats.org/officeDocument/2006/relationships/image" Target="../media/image1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elp!G2"/><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image" Target="../media/image12.emf"/></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elp!G2"/><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 Id="rId9" Type="http://schemas.openxmlformats.org/officeDocument/2006/relationships/hyperlink" Target="#Visulization!G1"/></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5.xml"/><Relationship Id="rId18" Type="http://schemas.openxmlformats.org/officeDocument/2006/relationships/chart" Target="../charts/chart10.xml"/><Relationship Id="rId26" Type="http://schemas.openxmlformats.org/officeDocument/2006/relationships/image" Target="../media/image19.png"/><Relationship Id="rId3" Type="http://schemas.openxmlformats.org/officeDocument/2006/relationships/image" Target="../media/image2.png"/><Relationship Id="rId21" Type="http://schemas.openxmlformats.org/officeDocument/2006/relationships/image" Target="../media/image14.png"/><Relationship Id="rId7" Type="http://schemas.openxmlformats.org/officeDocument/2006/relationships/image" Target="../media/image6.png"/><Relationship Id="rId12" Type="http://schemas.openxmlformats.org/officeDocument/2006/relationships/chart" Target="../charts/chart4.xml"/><Relationship Id="rId17" Type="http://schemas.openxmlformats.org/officeDocument/2006/relationships/chart" Target="../charts/chart9.xml"/><Relationship Id="rId25" Type="http://schemas.openxmlformats.org/officeDocument/2006/relationships/image" Target="../media/image18.png"/><Relationship Id="rId2" Type="http://schemas.openxmlformats.org/officeDocument/2006/relationships/image" Target="../media/image1.png"/><Relationship Id="rId16" Type="http://schemas.openxmlformats.org/officeDocument/2006/relationships/chart" Target="../charts/chart8.xml"/><Relationship Id="rId20" Type="http://schemas.openxmlformats.org/officeDocument/2006/relationships/chart" Target="../charts/chart12.xml"/><Relationship Id="rId29" Type="http://schemas.openxmlformats.org/officeDocument/2006/relationships/image" Target="../media/image22.png"/><Relationship Id="rId1" Type="http://schemas.openxmlformats.org/officeDocument/2006/relationships/hyperlink" Target="#Help!G2"/><Relationship Id="rId6" Type="http://schemas.openxmlformats.org/officeDocument/2006/relationships/image" Target="../media/image5.png"/><Relationship Id="rId11" Type="http://schemas.openxmlformats.org/officeDocument/2006/relationships/chart" Target="../charts/chart3.xml"/><Relationship Id="rId24" Type="http://schemas.openxmlformats.org/officeDocument/2006/relationships/image" Target="../media/image17.png"/><Relationship Id="rId5" Type="http://schemas.openxmlformats.org/officeDocument/2006/relationships/image" Target="../media/image4.png"/><Relationship Id="rId15" Type="http://schemas.openxmlformats.org/officeDocument/2006/relationships/chart" Target="../charts/chart7.xml"/><Relationship Id="rId23" Type="http://schemas.openxmlformats.org/officeDocument/2006/relationships/image" Target="../media/image16.png"/><Relationship Id="rId28" Type="http://schemas.openxmlformats.org/officeDocument/2006/relationships/image" Target="../media/image21.png"/><Relationship Id="rId10" Type="http://schemas.openxmlformats.org/officeDocument/2006/relationships/chart" Target="../charts/chart2.xml"/><Relationship Id="rId19" Type="http://schemas.openxmlformats.org/officeDocument/2006/relationships/chart" Target="../charts/chart11.xml"/><Relationship Id="rId4" Type="http://schemas.openxmlformats.org/officeDocument/2006/relationships/image" Target="../media/image3.png"/><Relationship Id="rId9" Type="http://schemas.openxmlformats.org/officeDocument/2006/relationships/chart" Target="../charts/chart1.xml"/><Relationship Id="rId14" Type="http://schemas.openxmlformats.org/officeDocument/2006/relationships/chart" Target="../charts/chart6.xml"/><Relationship Id="rId22" Type="http://schemas.openxmlformats.org/officeDocument/2006/relationships/image" Target="../media/image15.png"/><Relationship Id="rId27" Type="http://schemas.openxmlformats.org/officeDocument/2006/relationships/image" Target="../media/image20.png"/><Relationship Id="rId30" Type="http://schemas.openxmlformats.org/officeDocument/2006/relationships/image" Target="../media/image23.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chart" Target="../charts/chart17.xml"/><Relationship Id="rId18" Type="http://schemas.openxmlformats.org/officeDocument/2006/relationships/chart" Target="../charts/chart22.xml"/><Relationship Id="rId26" Type="http://schemas.openxmlformats.org/officeDocument/2006/relationships/chart" Target="../charts/chart30.xml"/><Relationship Id="rId3" Type="http://schemas.openxmlformats.org/officeDocument/2006/relationships/image" Target="../media/image2.png"/><Relationship Id="rId21" Type="http://schemas.openxmlformats.org/officeDocument/2006/relationships/chart" Target="../charts/chart25.xml"/><Relationship Id="rId7" Type="http://schemas.openxmlformats.org/officeDocument/2006/relationships/image" Target="../media/image6.png"/><Relationship Id="rId12" Type="http://schemas.openxmlformats.org/officeDocument/2006/relationships/chart" Target="../charts/chart16.xml"/><Relationship Id="rId17" Type="http://schemas.openxmlformats.org/officeDocument/2006/relationships/chart" Target="../charts/chart21.xml"/><Relationship Id="rId25" Type="http://schemas.openxmlformats.org/officeDocument/2006/relationships/chart" Target="../charts/chart29.xml"/><Relationship Id="rId2" Type="http://schemas.openxmlformats.org/officeDocument/2006/relationships/image" Target="../media/image1.png"/><Relationship Id="rId16" Type="http://schemas.openxmlformats.org/officeDocument/2006/relationships/chart" Target="../charts/chart20.xml"/><Relationship Id="rId20" Type="http://schemas.openxmlformats.org/officeDocument/2006/relationships/chart" Target="../charts/chart24.xml"/><Relationship Id="rId1" Type="http://schemas.openxmlformats.org/officeDocument/2006/relationships/hyperlink" Target="#Help!G2"/><Relationship Id="rId6" Type="http://schemas.openxmlformats.org/officeDocument/2006/relationships/image" Target="../media/image5.png"/><Relationship Id="rId11" Type="http://schemas.openxmlformats.org/officeDocument/2006/relationships/chart" Target="../charts/chart15.xml"/><Relationship Id="rId24" Type="http://schemas.openxmlformats.org/officeDocument/2006/relationships/chart" Target="../charts/chart28.xml"/><Relationship Id="rId5" Type="http://schemas.openxmlformats.org/officeDocument/2006/relationships/image" Target="../media/image4.png"/><Relationship Id="rId15" Type="http://schemas.openxmlformats.org/officeDocument/2006/relationships/chart" Target="../charts/chart19.xml"/><Relationship Id="rId23" Type="http://schemas.openxmlformats.org/officeDocument/2006/relationships/chart" Target="../charts/chart27.xml"/><Relationship Id="rId28" Type="http://schemas.openxmlformats.org/officeDocument/2006/relationships/chart" Target="../charts/chart32.xml"/><Relationship Id="rId10" Type="http://schemas.openxmlformats.org/officeDocument/2006/relationships/chart" Target="../charts/chart14.xml"/><Relationship Id="rId19" Type="http://schemas.openxmlformats.org/officeDocument/2006/relationships/chart" Target="../charts/chart23.xml"/><Relationship Id="rId4" Type="http://schemas.openxmlformats.org/officeDocument/2006/relationships/image" Target="../media/image3.png"/><Relationship Id="rId9" Type="http://schemas.openxmlformats.org/officeDocument/2006/relationships/chart" Target="../charts/chart13.xml"/><Relationship Id="rId14" Type="http://schemas.openxmlformats.org/officeDocument/2006/relationships/chart" Target="../charts/chart18.xml"/><Relationship Id="rId22" Type="http://schemas.openxmlformats.org/officeDocument/2006/relationships/chart" Target="../charts/chart26.xml"/><Relationship Id="rId27" Type="http://schemas.openxmlformats.org/officeDocument/2006/relationships/chart" Target="../charts/chart31.xml"/></Relationships>
</file>

<file path=xl/drawings/_rels/drawing6.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hyperlink" Target="#Help!G2"/></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elp!G2"/><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E8369CF-B5A0-41EF-9370-FE915CE2E1F0}"/>
            </a:ext>
          </a:extLst>
        </xdr:cNvPr>
        <xdr:cNvSpPr/>
      </xdr:nvSpPr>
      <xdr:spPr>
        <a:xfrm>
          <a:off x="180975" y="142875"/>
          <a:ext cx="361950" cy="36195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1</xdr:col>
      <xdr:colOff>29823</xdr:colOff>
      <xdr:row>16</xdr:row>
      <xdr:rowOff>142254</xdr:rowOff>
    </xdr:from>
    <xdr:to>
      <xdr:col>1</xdr:col>
      <xdr:colOff>292623</xdr:colOff>
      <xdr:row>17</xdr:row>
      <xdr:rowOff>178545</xdr:rowOff>
    </xdr:to>
    <xdr:pic>
      <xdr:nvPicPr>
        <xdr:cNvPr id="3" name="Picture 2">
          <a:extLst>
            <a:ext uri="{FF2B5EF4-FFF2-40B4-BE49-F238E27FC236}">
              <a16:creationId xmlns:a16="http://schemas.microsoft.com/office/drawing/2014/main" id="{C4C13666-E826-480A-A608-7C0994AA51F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8637" y="3480914"/>
          <a:ext cx="262800" cy="291600"/>
        </a:xfrm>
        <a:prstGeom prst="rect">
          <a:avLst/>
        </a:prstGeom>
      </xdr:spPr>
    </xdr:pic>
    <xdr:clientData/>
  </xdr:twoCellAnchor>
  <xdr:twoCellAnchor editAs="oneCell">
    <xdr:from>
      <xdr:col>1</xdr:col>
      <xdr:colOff>7403</xdr:colOff>
      <xdr:row>11</xdr:row>
      <xdr:rowOff>7928</xdr:rowOff>
    </xdr:from>
    <xdr:to>
      <xdr:col>1</xdr:col>
      <xdr:colOff>295403</xdr:colOff>
      <xdr:row>12</xdr:row>
      <xdr:rowOff>30799</xdr:rowOff>
    </xdr:to>
    <xdr:pic>
      <xdr:nvPicPr>
        <xdr:cNvPr id="4" name="Picture 3">
          <a:extLst>
            <a:ext uri="{FF2B5EF4-FFF2-40B4-BE49-F238E27FC236}">
              <a16:creationId xmlns:a16="http://schemas.microsoft.com/office/drawing/2014/main" id="{1C2388DC-9AA9-41E5-9ACB-C23BE74C61A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6217" y="2089681"/>
          <a:ext cx="288000" cy="288000"/>
        </a:xfrm>
        <a:prstGeom prst="rect">
          <a:avLst/>
        </a:prstGeom>
      </xdr:spPr>
    </xdr:pic>
    <xdr:clientData/>
  </xdr:twoCellAnchor>
  <xdr:twoCellAnchor editAs="oneCell">
    <xdr:from>
      <xdr:col>1</xdr:col>
      <xdr:colOff>4928</xdr:colOff>
      <xdr:row>23</xdr:row>
      <xdr:rowOff>6252</xdr:rowOff>
    </xdr:from>
    <xdr:to>
      <xdr:col>1</xdr:col>
      <xdr:colOff>297878</xdr:colOff>
      <xdr:row>24</xdr:row>
      <xdr:rowOff>42543</xdr:rowOff>
    </xdr:to>
    <xdr:pic>
      <xdr:nvPicPr>
        <xdr:cNvPr id="5" name="Picture 4">
          <a:extLst>
            <a:ext uri="{FF2B5EF4-FFF2-40B4-BE49-F238E27FC236}">
              <a16:creationId xmlns:a16="http://schemas.microsoft.com/office/drawing/2014/main" id="{0876E769-D0CD-4675-9259-7A9562F24158}"/>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3742" y="4906226"/>
          <a:ext cx="292950" cy="291600"/>
        </a:xfrm>
        <a:prstGeom prst="rect">
          <a:avLst/>
        </a:prstGeom>
      </xdr:spPr>
    </xdr:pic>
    <xdr:clientData/>
  </xdr:twoCellAnchor>
  <xdr:twoCellAnchor editAs="oneCell">
    <xdr:from>
      <xdr:col>1</xdr:col>
      <xdr:colOff>5603</xdr:colOff>
      <xdr:row>20</xdr:row>
      <xdr:rowOff>0</xdr:rowOff>
    </xdr:from>
    <xdr:to>
      <xdr:col>1</xdr:col>
      <xdr:colOff>297203</xdr:colOff>
      <xdr:row>20</xdr:row>
      <xdr:rowOff>249932</xdr:rowOff>
    </xdr:to>
    <xdr:pic>
      <xdr:nvPicPr>
        <xdr:cNvPr id="6" name="Picture 5">
          <a:extLst>
            <a:ext uri="{FF2B5EF4-FFF2-40B4-BE49-F238E27FC236}">
              <a16:creationId xmlns:a16="http://schemas.microsoft.com/office/drawing/2014/main" id="{EDE18B2E-C9B3-44E1-9E03-964B5185249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4417" y="4330438"/>
          <a:ext cx="291600" cy="249932"/>
        </a:xfrm>
        <a:prstGeom prst="rect">
          <a:avLst/>
        </a:prstGeom>
      </xdr:spPr>
    </xdr:pic>
    <xdr:clientData/>
  </xdr:twoCellAnchor>
  <xdr:twoCellAnchor editAs="oneCell">
    <xdr:from>
      <xdr:col>1</xdr:col>
      <xdr:colOff>21803</xdr:colOff>
      <xdr:row>13</xdr:row>
      <xdr:rowOff>212341</xdr:rowOff>
    </xdr:from>
    <xdr:to>
      <xdr:col>1</xdr:col>
      <xdr:colOff>281003</xdr:colOff>
      <xdr:row>14</xdr:row>
      <xdr:rowOff>238812</xdr:rowOff>
    </xdr:to>
    <xdr:pic>
      <xdr:nvPicPr>
        <xdr:cNvPr id="7" name="Picture 6">
          <a:extLst>
            <a:ext uri="{FF2B5EF4-FFF2-40B4-BE49-F238E27FC236}">
              <a16:creationId xmlns:a16="http://schemas.microsoft.com/office/drawing/2014/main" id="{DE170CA2-770E-4B47-868A-5D849CE98004}"/>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30617" y="2824351"/>
          <a:ext cx="259200" cy="291600"/>
        </a:xfrm>
        <a:prstGeom prst="rect">
          <a:avLst/>
        </a:prstGeom>
      </xdr:spPr>
    </xdr:pic>
    <xdr:clientData/>
  </xdr:twoCellAnchor>
  <xdr:twoCellAnchor editAs="oneCell">
    <xdr:from>
      <xdr:col>1</xdr:col>
      <xdr:colOff>5603</xdr:colOff>
      <xdr:row>26</xdr:row>
      <xdr:rowOff>2561</xdr:rowOff>
    </xdr:from>
    <xdr:to>
      <xdr:col>1</xdr:col>
      <xdr:colOff>297203</xdr:colOff>
      <xdr:row>27</xdr:row>
      <xdr:rowOff>38852</xdr:rowOff>
    </xdr:to>
    <xdr:pic>
      <xdr:nvPicPr>
        <xdr:cNvPr id="8" name="Picture 7">
          <a:extLst>
            <a:ext uri="{FF2B5EF4-FFF2-40B4-BE49-F238E27FC236}">
              <a16:creationId xmlns:a16="http://schemas.microsoft.com/office/drawing/2014/main" id="{E74A9188-DAE2-493D-B184-AB0372BE722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4417" y="5472071"/>
          <a:ext cx="291600" cy="291600"/>
        </a:xfrm>
        <a:prstGeom prst="rect">
          <a:avLst/>
        </a:prstGeom>
      </xdr:spPr>
    </xdr:pic>
    <xdr:clientData/>
  </xdr:twoCellAnchor>
  <xdr:twoCellAnchor editAs="oneCell">
    <xdr:from>
      <xdr:col>1</xdr:col>
      <xdr:colOff>0</xdr:colOff>
      <xdr:row>5</xdr:row>
      <xdr:rowOff>0</xdr:rowOff>
    </xdr:from>
    <xdr:to>
      <xdr:col>4</xdr:col>
      <xdr:colOff>66675</xdr:colOff>
      <xdr:row>7</xdr:row>
      <xdr:rowOff>102490</xdr:rowOff>
    </xdr:to>
    <xdr:pic>
      <xdr:nvPicPr>
        <xdr:cNvPr id="9" name="Picture 8">
          <a:extLst>
            <a:ext uri="{FF2B5EF4-FFF2-40B4-BE49-F238E27FC236}">
              <a16:creationId xmlns:a16="http://schemas.microsoft.com/office/drawing/2014/main" id="{389ADE01-5D10-4840-BF5C-9A74C1AFC6C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8814" y="1021237"/>
          <a:ext cx="1893119" cy="475634"/>
        </a:xfrm>
        <a:prstGeom prst="rect">
          <a:avLst/>
        </a:prstGeom>
      </xdr:spPr>
    </xdr:pic>
    <xdr:clientData/>
  </xdr:twoCellAnchor>
  <xdr:twoCellAnchor editAs="oneCell">
    <xdr:from>
      <xdr:col>23</xdr:col>
      <xdr:colOff>189124</xdr:colOff>
      <xdr:row>6</xdr:row>
      <xdr:rowOff>47625</xdr:rowOff>
    </xdr:from>
    <xdr:to>
      <xdr:col>26</xdr:col>
      <xdr:colOff>266700</xdr:colOff>
      <xdr:row>8</xdr:row>
      <xdr:rowOff>152894</xdr:rowOff>
    </xdr:to>
    <xdr:pic>
      <xdr:nvPicPr>
        <xdr:cNvPr id="13" name="Picture 12">
          <a:hlinkClick xmlns:r="http://schemas.openxmlformats.org/officeDocument/2006/relationships" r:id="rId9"/>
          <a:extLst>
            <a:ext uri="{FF2B5EF4-FFF2-40B4-BE49-F238E27FC236}">
              <a16:creationId xmlns:a16="http://schemas.microsoft.com/office/drawing/2014/main" id="{2BE9630B-037C-4295-897D-42F4C7EAD4CE}"/>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14209924" y="1304925"/>
          <a:ext cx="1906376" cy="486270"/>
        </a:xfrm>
        <a:prstGeom prst="rect">
          <a:avLst/>
        </a:prstGeom>
      </xdr:spPr>
    </xdr:pic>
    <xdr:clientData/>
  </xdr:twoCellAnchor>
  <xdr:twoCellAnchor editAs="oneCell">
    <xdr:from>
      <xdr:col>6</xdr:col>
      <xdr:colOff>529479</xdr:colOff>
      <xdr:row>14</xdr:row>
      <xdr:rowOff>71160</xdr:rowOff>
    </xdr:from>
    <xdr:to>
      <xdr:col>12</xdr:col>
      <xdr:colOff>300879</xdr:colOff>
      <xdr:row>26</xdr:row>
      <xdr:rowOff>113709</xdr:rowOff>
    </xdr:to>
    <xdr:pic>
      <xdr:nvPicPr>
        <xdr:cNvPr id="14" name="Picture 13">
          <a:extLst>
            <a:ext uri="{FF2B5EF4-FFF2-40B4-BE49-F238E27FC236}">
              <a16:creationId xmlns:a16="http://schemas.microsoft.com/office/drawing/2014/main" id="{7FE060D7-48D5-4F91-AD20-5B4731DCADBD}"/>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4187079" y="2995335"/>
          <a:ext cx="3429000" cy="3164098"/>
        </a:xfrm>
        <a:prstGeom prst="rect">
          <a:avLst/>
        </a:prstGeom>
      </xdr:spPr>
    </xdr:pic>
    <xdr:clientData/>
  </xdr:twoCellAnchor>
  <xdr:twoCellAnchor editAs="oneCell">
    <xdr:from>
      <xdr:col>7</xdr:col>
      <xdr:colOff>133351</xdr:colOff>
      <xdr:row>28</xdr:row>
      <xdr:rowOff>76199</xdr:rowOff>
    </xdr:from>
    <xdr:to>
      <xdr:col>13</xdr:col>
      <xdr:colOff>438151</xdr:colOff>
      <xdr:row>29</xdr:row>
      <xdr:rowOff>76268</xdr:rowOff>
    </xdr:to>
    <xdr:pic>
      <xdr:nvPicPr>
        <xdr:cNvPr id="15" name="Picture 14">
          <a:extLst>
            <a:ext uri="{FF2B5EF4-FFF2-40B4-BE49-F238E27FC236}">
              <a16:creationId xmlns:a16="http://schemas.microsoft.com/office/drawing/2014/main" id="{F2C0939A-B830-4A7A-811B-78EF321EC9C7}"/>
            </a:ext>
          </a:extLst>
        </xdr:cNvPr>
        <xdr:cNvPicPr>
          <a:picLocks noChangeAspect="1"/>
        </xdr:cNvPicPr>
      </xdr:nvPicPr>
      <xdr:blipFill rotWithShape="1">
        <a:blip xmlns:r="http://schemas.openxmlformats.org/officeDocument/2006/relationships" r:embed="rId12"/>
        <a:srcRect t="42379"/>
        <a:stretch/>
      </xdr:blipFill>
      <xdr:spPr>
        <a:xfrm>
          <a:off x="4400551" y="6743699"/>
          <a:ext cx="3962400" cy="190569"/>
        </a:xfrm>
        <a:prstGeom prst="rect">
          <a:avLst/>
        </a:prstGeom>
      </xdr:spPr>
    </xdr:pic>
    <xdr:clientData/>
  </xdr:twoCellAnchor>
  <xdr:twoCellAnchor>
    <xdr:from>
      <xdr:col>15</xdr:col>
      <xdr:colOff>76200</xdr:colOff>
      <xdr:row>31</xdr:row>
      <xdr:rowOff>114300</xdr:rowOff>
    </xdr:from>
    <xdr:to>
      <xdr:col>18</xdr:col>
      <xdr:colOff>495300</xdr:colOff>
      <xdr:row>34</xdr:row>
      <xdr:rowOff>76200</xdr:rowOff>
    </xdr:to>
    <xdr:grpSp>
      <xdr:nvGrpSpPr>
        <xdr:cNvPr id="18" name="Group 17">
          <a:extLst>
            <a:ext uri="{FF2B5EF4-FFF2-40B4-BE49-F238E27FC236}">
              <a16:creationId xmlns:a16="http://schemas.microsoft.com/office/drawing/2014/main" id="{B9F7AF9C-60CE-7B0B-4A4F-AFB66C6584C3}"/>
            </a:ext>
          </a:extLst>
        </xdr:cNvPr>
        <xdr:cNvGrpSpPr/>
      </xdr:nvGrpSpPr>
      <xdr:grpSpPr>
        <a:xfrm>
          <a:off x="9873343" y="7021286"/>
          <a:ext cx="2378528" cy="517071"/>
          <a:chOff x="9208416" y="6526491"/>
          <a:chExt cx="2245544" cy="521616"/>
        </a:xfrm>
      </xdr:grpSpPr>
      <xdr:sp macro="" textlink="">
        <xdr:nvSpPr>
          <xdr:cNvPr id="12" name="Rectangle: Rounded Corners 11">
            <a:hlinkClick xmlns:r="http://schemas.openxmlformats.org/officeDocument/2006/relationships" r:id="rId13"/>
            <a:extLst>
              <a:ext uri="{FF2B5EF4-FFF2-40B4-BE49-F238E27FC236}">
                <a16:creationId xmlns:a16="http://schemas.microsoft.com/office/drawing/2014/main" id="{91125D9A-9E76-4105-8A1C-10B5AF8A8A10}"/>
              </a:ext>
            </a:extLst>
          </xdr:cNvPr>
          <xdr:cNvSpPr/>
        </xdr:nvSpPr>
        <xdr:spPr>
          <a:xfrm>
            <a:off x="9208416" y="6526491"/>
            <a:ext cx="2245544" cy="521616"/>
          </a:xfrm>
          <a:prstGeom prst="roundRect">
            <a:avLst/>
          </a:prstGeom>
          <a:solidFill>
            <a:srgbClr val="217346"/>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bg1"/>
                </a:solidFill>
              </a:rPr>
              <a:t>Let us start</a:t>
            </a:r>
            <a:r>
              <a:rPr lang="en-IN" sz="1100" b="1">
                <a:solidFill>
                  <a:srgbClr val="217346"/>
                </a:solidFill>
              </a:rPr>
              <a:t>.....</a:t>
            </a:r>
          </a:p>
        </xdr:txBody>
      </xdr:sp>
      <xdr:pic>
        <xdr:nvPicPr>
          <xdr:cNvPr id="16" name="Picture 15">
            <a:extLst>
              <a:ext uri="{FF2B5EF4-FFF2-40B4-BE49-F238E27FC236}">
                <a16:creationId xmlns:a16="http://schemas.microsoft.com/office/drawing/2014/main" id="{3A8232B7-4C05-63C6-21B5-B6C4B8A05FC7}"/>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10628626" y="6662381"/>
            <a:ext cx="175166" cy="26257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375CA4-64F7-44BF-98D7-00A4D63F082B}"/>
            </a:ext>
          </a:extLst>
        </xdr:cNvPr>
        <xdr:cNvSpPr/>
      </xdr:nvSpPr>
      <xdr:spPr>
        <a:xfrm>
          <a:off x="180975" y="142875"/>
          <a:ext cx="361950" cy="381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1</xdr:col>
      <xdr:colOff>29823</xdr:colOff>
      <xdr:row>16</xdr:row>
      <xdr:rowOff>142254</xdr:rowOff>
    </xdr:from>
    <xdr:to>
      <xdr:col>1</xdr:col>
      <xdr:colOff>292623</xdr:colOff>
      <xdr:row>17</xdr:row>
      <xdr:rowOff>178545</xdr:rowOff>
    </xdr:to>
    <xdr:pic>
      <xdr:nvPicPr>
        <xdr:cNvPr id="3" name="Picture 2">
          <a:extLst>
            <a:ext uri="{FF2B5EF4-FFF2-40B4-BE49-F238E27FC236}">
              <a16:creationId xmlns:a16="http://schemas.microsoft.com/office/drawing/2014/main" id="{9216FA28-DA68-4D60-85E3-8FBBAD4E986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9423" y="3647454"/>
          <a:ext cx="262800" cy="293466"/>
        </a:xfrm>
        <a:prstGeom prst="rect">
          <a:avLst/>
        </a:prstGeom>
      </xdr:spPr>
    </xdr:pic>
    <xdr:clientData/>
  </xdr:twoCellAnchor>
  <xdr:twoCellAnchor editAs="oneCell">
    <xdr:from>
      <xdr:col>1</xdr:col>
      <xdr:colOff>7403</xdr:colOff>
      <xdr:row>11</xdr:row>
      <xdr:rowOff>7928</xdr:rowOff>
    </xdr:from>
    <xdr:to>
      <xdr:col>1</xdr:col>
      <xdr:colOff>295403</xdr:colOff>
      <xdr:row>12</xdr:row>
      <xdr:rowOff>30799</xdr:rowOff>
    </xdr:to>
    <xdr:pic>
      <xdr:nvPicPr>
        <xdr:cNvPr id="4" name="Picture 3">
          <a:extLst>
            <a:ext uri="{FF2B5EF4-FFF2-40B4-BE49-F238E27FC236}">
              <a16:creationId xmlns:a16="http://schemas.microsoft.com/office/drawing/2014/main" id="{D41E52CF-9AC2-4059-9E7B-FF4DBD61385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7003" y="2189153"/>
          <a:ext cx="288000" cy="289571"/>
        </a:xfrm>
        <a:prstGeom prst="rect">
          <a:avLst/>
        </a:prstGeom>
      </xdr:spPr>
    </xdr:pic>
    <xdr:clientData/>
  </xdr:twoCellAnchor>
  <xdr:twoCellAnchor editAs="oneCell">
    <xdr:from>
      <xdr:col>1</xdr:col>
      <xdr:colOff>4928</xdr:colOff>
      <xdr:row>23</xdr:row>
      <xdr:rowOff>6252</xdr:rowOff>
    </xdr:from>
    <xdr:to>
      <xdr:col>1</xdr:col>
      <xdr:colOff>297878</xdr:colOff>
      <xdr:row>24</xdr:row>
      <xdr:rowOff>3264</xdr:rowOff>
    </xdr:to>
    <xdr:pic>
      <xdr:nvPicPr>
        <xdr:cNvPr id="5" name="Picture 4">
          <a:extLst>
            <a:ext uri="{FF2B5EF4-FFF2-40B4-BE49-F238E27FC236}">
              <a16:creationId xmlns:a16="http://schemas.microsoft.com/office/drawing/2014/main" id="{586AF564-10CF-4AFC-9F68-EE563CB0146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528" y="5311677"/>
          <a:ext cx="292950" cy="293466"/>
        </a:xfrm>
        <a:prstGeom prst="rect">
          <a:avLst/>
        </a:prstGeom>
      </xdr:spPr>
    </xdr:pic>
    <xdr:clientData/>
  </xdr:twoCellAnchor>
  <xdr:twoCellAnchor editAs="oneCell">
    <xdr:from>
      <xdr:col>1</xdr:col>
      <xdr:colOff>5603</xdr:colOff>
      <xdr:row>20</xdr:row>
      <xdr:rowOff>0</xdr:rowOff>
    </xdr:from>
    <xdr:to>
      <xdr:col>1</xdr:col>
      <xdr:colOff>297203</xdr:colOff>
      <xdr:row>20</xdr:row>
      <xdr:rowOff>249932</xdr:rowOff>
    </xdr:to>
    <xdr:pic>
      <xdr:nvPicPr>
        <xdr:cNvPr id="6" name="Picture 5">
          <a:extLst>
            <a:ext uri="{FF2B5EF4-FFF2-40B4-BE49-F238E27FC236}">
              <a16:creationId xmlns:a16="http://schemas.microsoft.com/office/drawing/2014/main" id="{DECFC8C6-63EB-4A74-BE01-42B735BD893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5203" y="4533900"/>
          <a:ext cx="291600" cy="249932"/>
        </a:xfrm>
        <a:prstGeom prst="rect">
          <a:avLst/>
        </a:prstGeom>
      </xdr:spPr>
    </xdr:pic>
    <xdr:clientData/>
  </xdr:twoCellAnchor>
  <xdr:twoCellAnchor editAs="oneCell">
    <xdr:from>
      <xdr:col>1</xdr:col>
      <xdr:colOff>21803</xdr:colOff>
      <xdr:row>13</xdr:row>
      <xdr:rowOff>212341</xdr:rowOff>
    </xdr:from>
    <xdr:to>
      <xdr:col>1</xdr:col>
      <xdr:colOff>281003</xdr:colOff>
      <xdr:row>14</xdr:row>
      <xdr:rowOff>238812</xdr:rowOff>
    </xdr:to>
    <xdr:pic>
      <xdr:nvPicPr>
        <xdr:cNvPr id="7" name="Picture 6">
          <a:extLst>
            <a:ext uri="{FF2B5EF4-FFF2-40B4-BE49-F238E27FC236}">
              <a16:creationId xmlns:a16="http://schemas.microsoft.com/office/drawing/2014/main" id="{8C6CCB80-DB70-4D8D-B86E-E478F08D8A5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31403" y="2926966"/>
          <a:ext cx="259200" cy="293171"/>
        </a:xfrm>
        <a:prstGeom prst="rect">
          <a:avLst/>
        </a:prstGeom>
      </xdr:spPr>
    </xdr:pic>
    <xdr:clientData/>
  </xdr:twoCellAnchor>
  <xdr:twoCellAnchor editAs="oneCell">
    <xdr:from>
      <xdr:col>1</xdr:col>
      <xdr:colOff>5603</xdr:colOff>
      <xdr:row>26</xdr:row>
      <xdr:rowOff>2561</xdr:rowOff>
    </xdr:from>
    <xdr:to>
      <xdr:col>1</xdr:col>
      <xdr:colOff>297203</xdr:colOff>
      <xdr:row>27</xdr:row>
      <xdr:rowOff>38851</xdr:rowOff>
    </xdr:to>
    <xdr:pic>
      <xdr:nvPicPr>
        <xdr:cNvPr id="8" name="Picture 7">
          <a:extLst>
            <a:ext uri="{FF2B5EF4-FFF2-40B4-BE49-F238E27FC236}">
              <a16:creationId xmlns:a16="http://schemas.microsoft.com/office/drawing/2014/main" id="{A36A89D6-32F4-4A88-9073-3AAF2A4DE088}"/>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5203" y="6079511"/>
          <a:ext cx="291600" cy="293466"/>
        </a:xfrm>
        <a:prstGeom prst="rect">
          <a:avLst/>
        </a:prstGeom>
      </xdr:spPr>
    </xdr:pic>
    <xdr:clientData/>
  </xdr:twoCellAnchor>
  <xdr:twoCellAnchor editAs="oneCell">
    <xdr:from>
      <xdr:col>1</xdr:col>
      <xdr:colOff>0</xdr:colOff>
      <xdr:row>5</xdr:row>
      <xdr:rowOff>0</xdr:rowOff>
    </xdr:from>
    <xdr:to>
      <xdr:col>4</xdr:col>
      <xdr:colOff>66675</xdr:colOff>
      <xdr:row>7</xdr:row>
      <xdr:rowOff>102490</xdr:rowOff>
    </xdr:to>
    <xdr:pic>
      <xdr:nvPicPr>
        <xdr:cNvPr id="9" name="Picture 8">
          <a:extLst>
            <a:ext uri="{FF2B5EF4-FFF2-40B4-BE49-F238E27FC236}">
              <a16:creationId xmlns:a16="http://schemas.microsoft.com/office/drawing/2014/main" id="{92277E62-0829-461E-B121-BCC473B5F8F1}"/>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9600" y="1038225"/>
          <a:ext cx="1895475" cy="48349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24</xdr:col>
          <xdr:colOff>589692</xdr:colOff>
          <xdr:row>26</xdr:row>
          <xdr:rowOff>49099</xdr:rowOff>
        </xdr:from>
        <xdr:to>
          <xdr:col>27</xdr:col>
          <xdr:colOff>43712</xdr:colOff>
          <xdr:row>27</xdr:row>
          <xdr:rowOff>186189</xdr:rowOff>
        </xdr:to>
        <xdr:pic macro="[1]!t_data">
          <xdr:nvPicPr>
            <xdr:cNvPr id="16" name="Picture 15">
              <a:extLst>
                <a:ext uri="{FF2B5EF4-FFF2-40B4-BE49-F238E27FC236}">
                  <a16:creationId xmlns:a16="http://schemas.microsoft.com/office/drawing/2014/main" id="{A31E21C5-2AA7-4E89-A1C2-8D04F3A7F4A5}"/>
                </a:ext>
              </a:extLst>
            </xdr:cNvPr>
            <xdr:cNvPicPr>
              <a:picLocks noChangeAspect="1" noChangeArrowheads="1"/>
              <a:extLst>
                <a:ext uri="{84589F7E-364E-4C9E-8A38-B11213B215E9}">
                  <a14:cameraTool cellRange="$F$56" spid="_x0000_s8222"/>
                </a:ext>
              </a:extLst>
            </xdr:cNvPicPr>
          </xdr:nvPicPr>
          <xdr:blipFill>
            <a:blip xmlns:r="http://schemas.openxmlformats.org/officeDocument/2006/relationships" r:embed="rId9"/>
            <a:srcRect/>
            <a:stretch>
              <a:fillRect/>
            </a:stretch>
          </xdr:blipFill>
          <xdr:spPr bwMode="auto">
            <a:xfrm>
              <a:off x="15201238" y="6137243"/>
              <a:ext cx="1280464" cy="39240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6</xdr:col>
      <xdr:colOff>314537</xdr:colOff>
      <xdr:row>26</xdr:row>
      <xdr:rowOff>34636</xdr:rowOff>
    </xdr:from>
    <xdr:to>
      <xdr:col>7</xdr:col>
      <xdr:colOff>0</xdr:colOff>
      <xdr:row>27</xdr:row>
      <xdr:rowOff>75988</xdr:rowOff>
    </xdr:to>
    <xdr:pic>
      <xdr:nvPicPr>
        <xdr:cNvPr id="17" name="Picture 16">
          <a:extLst>
            <a:ext uri="{FF2B5EF4-FFF2-40B4-BE49-F238E27FC236}">
              <a16:creationId xmlns:a16="http://schemas.microsoft.com/office/drawing/2014/main" id="{6C6E6622-6704-4563-8406-3AA66D9E5BCC}"/>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972137" y="6254461"/>
          <a:ext cx="295063" cy="29852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CAC9AA9-4B97-4B97-BF91-929B467456D2}"/>
            </a:ext>
          </a:extLst>
        </xdr:cNvPr>
        <xdr:cNvSpPr/>
      </xdr:nvSpPr>
      <xdr:spPr>
        <a:xfrm>
          <a:off x="180975" y="142875"/>
          <a:ext cx="361950" cy="381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1</xdr:col>
      <xdr:colOff>29823</xdr:colOff>
      <xdr:row>16</xdr:row>
      <xdr:rowOff>142254</xdr:rowOff>
    </xdr:from>
    <xdr:to>
      <xdr:col>1</xdr:col>
      <xdr:colOff>292623</xdr:colOff>
      <xdr:row>17</xdr:row>
      <xdr:rowOff>178544</xdr:rowOff>
    </xdr:to>
    <xdr:pic>
      <xdr:nvPicPr>
        <xdr:cNvPr id="3" name="Picture 2">
          <a:extLst>
            <a:ext uri="{FF2B5EF4-FFF2-40B4-BE49-F238E27FC236}">
              <a16:creationId xmlns:a16="http://schemas.microsoft.com/office/drawing/2014/main" id="{DF66291C-0B21-4065-BC49-56C5CE8370C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9423" y="3647454"/>
          <a:ext cx="262800" cy="293466"/>
        </a:xfrm>
        <a:prstGeom prst="rect">
          <a:avLst/>
        </a:prstGeom>
      </xdr:spPr>
    </xdr:pic>
    <xdr:clientData/>
  </xdr:twoCellAnchor>
  <xdr:twoCellAnchor editAs="oneCell">
    <xdr:from>
      <xdr:col>1</xdr:col>
      <xdr:colOff>7403</xdr:colOff>
      <xdr:row>11</xdr:row>
      <xdr:rowOff>7928</xdr:rowOff>
    </xdr:from>
    <xdr:to>
      <xdr:col>1</xdr:col>
      <xdr:colOff>295403</xdr:colOff>
      <xdr:row>12</xdr:row>
      <xdr:rowOff>30799</xdr:rowOff>
    </xdr:to>
    <xdr:pic>
      <xdr:nvPicPr>
        <xdr:cNvPr id="4" name="Picture 3">
          <a:extLst>
            <a:ext uri="{FF2B5EF4-FFF2-40B4-BE49-F238E27FC236}">
              <a16:creationId xmlns:a16="http://schemas.microsoft.com/office/drawing/2014/main" id="{019EFC3E-EA11-45A4-8F79-5DC0EAF5C17A}"/>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7003" y="2189153"/>
          <a:ext cx="288000" cy="289571"/>
        </a:xfrm>
        <a:prstGeom prst="rect">
          <a:avLst/>
        </a:prstGeom>
      </xdr:spPr>
    </xdr:pic>
    <xdr:clientData/>
  </xdr:twoCellAnchor>
  <xdr:twoCellAnchor editAs="oneCell">
    <xdr:from>
      <xdr:col>1</xdr:col>
      <xdr:colOff>4928</xdr:colOff>
      <xdr:row>23</xdr:row>
      <xdr:rowOff>6252</xdr:rowOff>
    </xdr:from>
    <xdr:to>
      <xdr:col>1</xdr:col>
      <xdr:colOff>297878</xdr:colOff>
      <xdr:row>24</xdr:row>
      <xdr:rowOff>3264</xdr:rowOff>
    </xdr:to>
    <xdr:pic>
      <xdr:nvPicPr>
        <xdr:cNvPr id="5" name="Picture 4">
          <a:extLst>
            <a:ext uri="{FF2B5EF4-FFF2-40B4-BE49-F238E27FC236}">
              <a16:creationId xmlns:a16="http://schemas.microsoft.com/office/drawing/2014/main" id="{6A5B22B6-6014-4A94-B2C0-13EF93015B5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528" y="5311677"/>
          <a:ext cx="292950" cy="293466"/>
        </a:xfrm>
        <a:prstGeom prst="rect">
          <a:avLst/>
        </a:prstGeom>
      </xdr:spPr>
    </xdr:pic>
    <xdr:clientData/>
  </xdr:twoCellAnchor>
  <xdr:twoCellAnchor editAs="oneCell">
    <xdr:from>
      <xdr:col>1</xdr:col>
      <xdr:colOff>5603</xdr:colOff>
      <xdr:row>20</xdr:row>
      <xdr:rowOff>0</xdr:rowOff>
    </xdr:from>
    <xdr:to>
      <xdr:col>1</xdr:col>
      <xdr:colOff>297203</xdr:colOff>
      <xdr:row>20</xdr:row>
      <xdr:rowOff>249932</xdr:rowOff>
    </xdr:to>
    <xdr:pic>
      <xdr:nvPicPr>
        <xdr:cNvPr id="6" name="Picture 5">
          <a:extLst>
            <a:ext uri="{FF2B5EF4-FFF2-40B4-BE49-F238E27FC236}">
              <a16:creationId xmlns:a16="http://schemas.microsoft.com/office/drawing/2014/main" id="{316CCACE-7635-4ECA-83E9-ACDBA29C4525}"/>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5203" y="4533900"/>
          <a:ext cx="291600" cy="249932"/>
        </a:xfrm>
        <a:prstGeom prst="rect">
          <a:avLst/>
        </a:prstGeom>
      </xdr:spPr>
    </xdr:pic>
    <xdr:clientData/>
  </xdr:twoCellAnchor>
  <xdr:twoCellAnchor editAs="oneCell">
    <xdr:from>
      <xdr:col>1</xdr:col>
      <xdr:colOff>21803</xdr:colOff>
      <xdr:row>13</xdr:row>
      <xdr:rowOff>212341</xdr:rowOff>
    </xdr:from>
    <xdr:to>
      <xdr:col>1</xdr:col>
      <xdr:colOff>281003</xdr:colOff>
      <xdr:row>14</xdr:row>
      <xdr:rowOff>238812</xdr:rowOff>
    </xdr:to>
    <xdr:pic>
      <xdr:nvPicPr>
        <xdr:cNvPr id="7" name="Picture 6">
          <a:extLst>
            <a:ext uri="{FF2B5EF4-FFF2-40B4-BE49-F238E27FC236}">
              <a16:creationId xmlns:a16="http://schemas.microsoft.com/office/drawing/2014/main" id="{003D4A0B-B2F7-41AE-A767-B4E3C8F01739}"/>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31403" y="2926966"/>
          <a:ext cx="259200" cy="293171"/>
        </a:xfrm>
        <a:prstGeom prst="rect">
          <a:avLst/>
        </a:prstGeom>
      </xdr:spPr>
    </xdr:pic>
    <xdr:clientData/>
  </xdr:twoCellAnchor>
  <xdr:twoCellAnchor editAs="oneCell">
    <xdr:from>
      <xdr:col>1</xdr:col>
      <xdr:colOff>5603</xdr:colOff>
      <xdr:row>26</xdr:row>
      <xdr:rowOff>2561</xdr:rowOff>
    </xdr:from>
    <xdr:to>
      <xdr:col>1</xdr:col>
      <xdr:colOff>297203</xdr:colOff>
      <xdr:row>26</xdr:row>
      <xdr:rowOff>294161</xdr:rowOff>
    </xdr:to>
    <xdr:pic>
      <xdr:nvPicPr>
        <xdr:cNvPr id="8" name="Picture 7">
          <a:extLst>
            <a:ext uri="{FF2B5EF4-FFF2-40B4-BE49-F238E27FC236}">
              <a16:creationId xmlns:a16="http://schemas.microsoft.com/office/drawing/2014/main" id="{55C97249-FB56-4808-A6B4-C38A1C965603}"/>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5203" y="6079511"/>
          <a:ext cx="291600" cy="293466"/>
        </a:xfrm>
        <a:prstGeom prst="rect">
          <a:avLst/>
        </a:prstGeom>
      </xdr:spPr>
    </xdr:pic>
    <xdr:clientData/>
  </xdr:twoCellAnchor>
  <xdr:twoCellAnchor editAs="oneCell">
    <xdr:from>
      <xdr:col>1</xdr:col>
      <xdr:colOff>0</xdr:colOff>
      <xdr:row>5</xdr:row>
      <xdr:rowOff>0</xdr:rowOff>
    </xdr:from>
    <xdr:to>
      <xdr:col>4</xdr:col>
      <xdr:colOff>66675</xdr:colOff>
      <xdr:row>7</xdr:row>
      <xdr:rowOff>53392</xdr:rowOff>
    </xdr:to>
    <xdr:pic>
      <xdr:nvPicPr>
        <xdr:cNvPr id="9" name="Picture 8">
          <a:extLst>
            <a:ext uri="{FF2B5EF4-FFF2-40B4-BE49-F238E27FC236}">
              <a16:creationId xmlns:a16="http://schemas.microsoft.com/office/drawing/2014/main" id="{AC7FD890-D29B-4149-BDB2-A939C695F7C7}"/>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9600" y="1038225"/>
          <a:ext cx="1895475" cy="483490"/>
        </a:xfrm>
        <a:prstGeom prst="rect">
          <a:avLst/>
        </a:prstGeom>
      </xdr:spPr>
    </xdr:pic>
    <xdr:clientData/>
  </xdr:twoCellAnchor>
  <xdr:twoCellAnchor>
    <xdr:from>
      <xdr:col>25</xdr:col>
      <xdr:colOff>295275</xdr:colOff>
      <xdr:row>18</xdr:row>
      <xdr:rowOff>0</xdr:rowOff>
    </xdr:from>
    <xdr:to>
      <xdr:col>27</xdr:col>
      <xdr:colOff>342900</xdr:colOff>
      <xdr:row>22</xdr:row>
      <xdr:rowOff>200025</xdr:rowOff>
    </xdr:to>
    <xdr:grpSp>
      <xdr:nvGrpSpPr>
        <xdr:cNvPr id="10" name="Group 9">
          <a:hlinkClick xmlns:r="http://schemas.openxmlformats.org/officeDocument/2006/relationships" r:id="rId9"/>
          <a:extLst>
            <a:ext uri="{FF2B5EF4-FFF2-40B4-BE49-F238E27FC236}">
              <a16:creationId xmlns:a16="http://schemas.microsoft.com/office/drawing/2014/main" id="{7B58F95E-17D4-4A30-BBC8-CBF73BBA90E6}"/>
            </a:ext>
          </a:extLst>
        </xdr:cNvPr>
        <xdr:cNvGrpSpPr/>
      </xdr:nvGrpSpPr>
      <xdr:grpSpPr>
        <a:xfrm>
          <a:off x="16567735" y="4084948"/>
          <a:ext cx="1349422" cy="1232485"/>
          <a:chOff x="15535275" y="4086225"/>
          <a:chExt cx="1266825" cy="1266825"/>
        </a:xfrm>
        <a:solidFill>
          <a:srgbClr val="217346"/>
        </a:solidFill>
      </xdr:grpSpPr>
      <xdr:sp macro="" textlink="">
        <xdr:nvSpPr>
          <xdr:cNvPr id="11" name="Rectangle: Rounded Corners 10">
            <a:extLst>
              <a:ext uri="{FF2B5EF4-FFF2-40B4-BE49-F238E27FC236}">
                <a16:creationId xmlns:a16="http://schemas.microsoft.com/office/drawing/2014/main" id="{5007A995-AB2D-67DC-FDB2-57539F1B7D5F}"/>
              </a:ext>
            </a:extLst>
          </xdr:cNvPr>
          <xdr:cNvSpPr/>
        </xdr:nvSpPr>
        <xdr:spPr>
          <a:xfrm>
            <a:off x="15535275" y="4086225"/>
            <a:ext cx="1266825" cy="1266825"/>
          </a:xfrm>
          <a:prstGeom prst="roundRect">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12" name="Picture 11">
            <a:extLst>
              <a:ext uri="{FF2B5EF4-FFF2-40B4-BE49-F238E27FC236}">
                <a16:creationId xmlns:a16="http://schemas.microsoft.com/office/drawing/2014/main" id="{7072CF82-A65F-5EAA-6AAE-2E2A3267D46B}"/>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830550" y="4410076"/>
            <a:ext cx="762612" cy="663140"/>
          </a:xfrm>
          <a:prstGeom prst="rect">
            <a:avLst/>
          </a:prstGeom>
          <a:grpFill/>
        </xdr:spPr>
      </xdr:pic>
    </xdr:grpSp>
    <xdr:clientData/>
  </xdr:twoCellAnchor>
  <xdr:twoCellAnchor>
    <xdr:from>
      <xdr:col>25</xdr:col>
      <xdr:colOff>190501</xdr:colOff>
      <xdr:row>24</xdr:row>
      <xdr:rowOff>200025</xdr:rowOff>
    </xdr:from>
    <xdr:to>
      <xdr:col>27</xdr:col>
      <xdr:colOff>428625</xdr:colOff>
      <xdr:row>29</xdr:row>
      <xdr:rowOff>161925</xdr:rowOff>
    </xdr:to>
    <xdr:sp macro="" textlink="">
      <xdr:nvSpPr>
        <xdr:cNvPr id="13" name="TextBox 12">
          <a:extLst>
            <a:ext uri="{FF2B5EF4-FFF2-40B4-BE49-F238E27FC236}">
              <a16:creationId xmlns:a16="http://schemas.microsoft.com/office/drawing/2014/main" id="{595CEDBE-4A00-4734-8487-1F693ADCD4B3}"/>
            </a:ext>
          </a:extLst>
        </xdr:cNvPr>
        <xdr:cNvSpPr txBox="1"/>
      </xdr:nvSpPr>
      <xdr:spPr>
        <a:xfrm>
          <a:off x="15430501" y="5886450"/>
          <a:ext cx="1457324" cy="1143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IN"/>
            <a:t>Visual representations are generated for both the collective data of all images as well as for each image individually.</a:t>
          </a:r>
          <a:endParaRPr lang="en-IN" sz="1100"/>
        </a:p>
      </xdr:txBody>
    </xdr:sp>
    <xdr:clientData/>
  </xdr:twoCellAnchor>
  <xdr:twoCellAnchor>
    <xdr:from>
      <xdr:col>25</xdr:col>
      <xdr:colOff>190501</xdr:colOff>
      <xdr:row>30</xdr:row>
      <xdr:rowOff>38100</xdr:rowOff>
    </xdr:from>
    <xdr:to>
      <xdr:col>27</xdr:col>
      <xdr:colOff>428625</xdr:colOff>
      <xdr:row>32</xdr:row>
      <xdr:rowOff>114300</xdr:rowOff>
    </xdr:to>
    <xdr:sp macro="" textlink="">
      <xdr:nvSpPr>
        <xdr:cNvPr id="14" name="TextBox 13">
          <a:extLst>
            <a:ext uri="{FF2B5EF4-FFF2-40B4-BE49-F238E27FC236}">
              <a16:creationId xmlns:a16="http://schemas.microsoft.com/office/drawing/2014/main" id="{DA7384E5-E563-4E68-BA65-08833576AC69}"/>
            </a:ext>
          </a:extLst>
        </xdr:cNvPr>
        <xdr:cNvSpPr txBox="1"/>
      </xdr:nvSpPr>
      <xdr:spPr>
        <a:xfrm>
          <a:off x="15430501" y="7096125"/>
          <a:ext cx="1457324" cy="4572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IN"/>
            <a:t>Reference graphs have been generated.</a:t>
          </a:r>
          <a:endParaRPr lang="en-IN"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7EF65E3F-753A-42F5-A1A9-0CD6D3A21A68}"/>
            </a:ext>
          </a:extLst>
        </xdr:cNvPr>
        <xdr:cNvSpPr/>
      </xdr:nvSpPr>
      <xdr:spPr>
        <a:xfrm>
          <a:off x="180975" y="142875"/>
          <a:ext cx="361950" cy="381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1</xdr:col>
      <xdr:colOff>29823</xdr:colOff>
      <xdr:row>16</xdr:row>
      <xdr:rowOff>142254</xdr:rowOff>
    </xdr:from>
    <xdr:to>
      <xdr:col>1</xdr:col>
      <xdr:colOff>292623</xdr:colOff>
      <xdr:row>17</xdr:row>
      <xdr:rowOff>178545</xdr:rowOff>
    </xdr:to>
    <xdr:pic>
      <xdr:nvPicPr>
        <xdr:cNvPr id="3" name="Picture 2">
          <a:extLst>
            <a:ext uri="{FF2B5EF4-FFF2-40B4-BE49-F238E27FC236}">
              <a16:creationId xmlns:a16="http://schemas.microsoft.com/office/drawing/2014/main" id="{8432CB86-8412-4D01-8555-2BE764087AA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9423" y="3647454"/>
          <a:ext cx="262800" cy="293466"/>
        </a:xfrm>
        <a:prstGeom prst="rect">
          <a:avLst/>
        </a:prstGeom>
      </xdr:spPr>
    </xdr:pic>
    <xdr:clientData/>
  </xdr:twoCellAnchor>
  <xdr:twoCellAnchor editAs="oneCell">
    <xdr:from>
      <xdr:col>1</xdr:col>
      <xdr:colOff>7403</xdr:colOff>
      <xdr:row>11</xdr:row>
      <xdr:rowOff>7928</xdr:rowOff>
    </xdr:from>
    <xdr:to>
      <xdr:col>1</xdr:col>
      <xdr:colOff>295403</xdr:colOff>
      <xdr:row>12</xdr:row>
      <xdr:rowOff>30799</xdr:rowOff>
    </xdr:to>
    <xdr:pic>
      <xdr:nvPicPr>
        <xdr:cNvPr id="4" name="Picture 3">
          <a:extLst>
            <a:ext uri="{FF2B5EF4-FFF2-40B4-BE49-F238E27FC236}">
              <a16:creationId xmlns:a16="http://schemas.microsoft.com/office/drawing/2014/main" id="{70E5F006-956D-4037-9FCB-EA991BD1306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7003" y="2189153"/>
          <a:ext cx="288000" cy="289571"/>
        </a:xfrm>
        <a:prstGeom prst="rect">
          <a:avLst/>
        </a:prstGeom>
      </xdr:spPr>
    </xdr:pic>
    <xdr:clientData/>
  </xdr:twoCellAnchor>
  <xdr:twoCellAnchor editAs="oneCell">
    <xdr:from>
      <xdr:col>1</xdr:col>
      <xdr:colOff>4928</xdr:colOff>
      <xdr:row>23</xdr:row>
      <xdr:rowOff>6252</xdr:rowOff>
    </xdr:from>
    <xdr:to>
      <xdr:col>1</xdr:col>
      <xdr:colOff>297878</xdr:colOff>
      <xdr:row>24</xdr:row>
      <xdr:rowOff>3264</xdr:rowOff>
    </xdr:to>
    <xdr:pic>
      <xdr:nvPicPr>
        <xdr:cNvPr id="5" name="Picture 4">
          <a:extLst>
            <a:ext uri="{FF2B5EF4-FFF2-40B4-BE49-F238E27FC236}">
              <a16:creationId xmlns:a16="http://schemas.microsoft.com/office/drawing/2014/main" id="{6DC8F5A5-276E-407A-934C-785039CAEFD5}"/>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528" y="5311677"/>
          <a:ext cx="292950" cy="293466"/>
        </a:xfrm>
        <a:prstGeom prst="rect">
          <a:avLst/>
        </a:prstGeom>
      </xdr:spPr>
    </xdr:pic>
    <xdr:clientData/>
  </xdr:twoCellAnchor>
  <xdr:twoCellAnchor editAs="oneCell">
    <xdr:from>
      <xdr:col>1</xdr:col>
      <xdr:colOff>5603</xdr:colOff>
      <xdr:row>20</xdr:row>
      <xdr:rowOff>0</xdr:rowOff>
    </xdr:from>
    <xdr:to>
      <xdr:col>1</xdr:col>
      <xdr:colOff>297203</xdr:colOff>
      <xdr:row>20</xdr:row>
      <xdr:rowOff>249932</xdr:rowOff>
    </xdr:to>
    <xdr:pic>
      <xdr:nvPicPr>
        <xdr:cNvPr id="6" name="Picture 5">
          <a:extLst>
            <a:ext uri="{FF2B5EF4-FFF2-40B4-BE49-F238E27FC236}">
              <a16:creationId xmlns:a16="http://schemas.microsoft.com/office/drawing/2014/main" id="{11196BC3-69B5-4A4C-A388-20B687FA324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5203" y="4533900"/>
          <a:ext cx="291600" cy="249932"/>
        </a:xfrm>
        <a:prstGeom prst="rect">
          <a:avLst/>
        </a:prstGeom>
      </xdr:spPr>
    </xdr:pic>
    <xdr:clientData/>
  </xdr:twoCellAnchor>
  <xdr:twoCellAnchor editAs="oneCell">
    <xdr:from>
      <xdr:col>1</xdr:col>
      <xdr:colOff>21803</xdr:colOff>
      <xdr:row>13</xdr:row>
      <xdr:rowOff>212341</xdr:rowOff>
    </xdr:from>
    <xdr:to>
      <xdr:col>1</xdr:col>
      <xdr:colOff>281003</xdr:colOff>
      <xdr:row>14</xdr:row>
      <xdr:rowOff>238813</xdr:rowOff>
    </xdr:to>
    <xdr:pic>
      <xdr:nvPicPr>
        <xdr:cNvPr id="7" name="Picture 6">
          <a:extLst>
            <a:ext uri="{FF2B5EF4-FFF2-40B4-BE49-F238E27FC236}">
              <a16:creationId xmlns:a16="http://schemas.microsoft.com/office/drawing/2014/main" id="{7C72D200-8A2F-4B4D-B4AA-533D29E72CAB}"/>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31403" y="2926966"/>
          <a:ext cx="259200" cy="293171"/>
        </a:xfrm>
        <a:prstGeom prst="rect">
          <a:avLst/>
        </a:prstGeom>
      </xdr:spPr>
    </xdr:pic>
    <xdr:clientData/>
  </xdr:twoCellAnchor>
  <xdr:twoCellAnchor editAs="oneCell">
    <xdr:from>
      <xdr:col>1</xdr:col>
      <xdr:colOff>5603</xdr:colOff>
      <xdr:row>26</xdr:row>
      <xdr:rowOff>2561</xdr:rowOff>
    </xdr:from>
    <xdr:to>
      <xdr:col>1</xdr:col>
      <xdr:colOff>297203</xdr:colOff>
      <xdr:row>27</xdr:row>
      <xdr:rowOff>38852</xdr:rowOff>
    </xdr:to>
    <xdr:pic>
      <xdr:nvPicPr>
        <xdr:cNvPr id="8" name="Picture 7">
          <a:extLst>
            <a:ext uri="{FF2B5EF4-FFF2-40B4-BE49-F238E27FC236}">
              <a16:creationId xmlns:a16="http://schemas.microsoft.com/office/drawing/2014/main" id="{2B588907-24DF-4203-802A-7F44C9D8BE04}"/>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5203" y="6079511"/>
          <a:ext cx="291600" cy="293466"/>
        </a:xfrm>
        <a:prstGeom prst="rect">
          <a:avLst/>
        </a:prstGeom>
      </xdr:spPr>
    </xdr:pic>
    <xdr:clientData/>
  </xdr:twoCellAnchor>
  <xdr:twoCellAnchor editAs="oneCell">
    <xdr:from>
      <xdr:col>1</xdr:col>
      <xdr:colOff>0</xdr:colOff>
      <xdr:row>5</xdr:row>
      <xdr:rowOff>0</xdr:rowOff>
    </xdr:from>
    <xdr:to>
      <xdr:col>4</xdr:col>
      <xdr:colOff>66675</xdr:colOff>
      <xdr:row>7</xdr:row>
      <xdr:rowOff>53392</xdr:rowOff>
    </xdr:to>
    <xdr:pic>
      <xdr:nvPicPr>
        <xdr:cNvPr id="9" name="Picture 8">
          <a:extLst>
            <a:ext uri="{FF2B5EF4-FFF2-40B4-BE49-F238E27FC236}">
              <a16:creationId xmlns:a16="http://schemas.microsoft.com/office/drawing/2014/main" id="{DD6E1820-08C0-4C11-9715-63CCBCD5A8DB}"/>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9600" y="1038225"/>
          <a:ext cx="1895475" cy="483490"/>
        </a:xfrm>
        <a:prstGeom prst="rect">
          <a:avLst/>
        </a:prstGeom>
      </xdr:spPr>
    </xdr:pic>
    <xdr:clientData/>
  </xdr:twoCellAnchor>
  <xdr:twoCellAnchor>
    <xdr:from>
      <xdr:col>7</xdr:col>
      <xdr:colOff>38147</xdr:colOff>
      <xdr:row>7</xdr:row>
      <xdr:rowOff>104753</xdr:rowOff>
    </xdr:from>
    <xdr:to>
      <xdr:col>16</xdr:col>
      <xdr:colOff>71096</xdr:colOff>
      <xdr:row>23</xdr:row>
      <xdr:rowOff>97194</xdr:rowOff>
    </xdr:to>
    <xdr:graphicFrame macro="">
      <xdr:nvGraphicFramePr>
        <xdr:cNvPr id="10" name="Chart 9">
          <a:extLst>
            <a:ext uri="{FF2B5EF4-FFF2-40B4-BE49-F238E27FC236}">
              <a16:creationId xmlns:a16="http://schemas.microsoft.com/office/drawing/2014/main" id="{08FF67D0-A652-41CB-8584-2DA92543A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35</xdr:col>
      <xdr:colOff>461826</xdr:colOff>
      <xdr:row>15</xdr:row>
      <xdr:rowOff>25732</xdr:rowOff>
    </xdr:from>
    <xdr:to>
      <xdr:col>40</xdr:col>
      <xdr:colOff>5826</xdr:colOff>
      <xdr:row>20</xdr:row>
      <xdr:rowOff>246261</xdr:rowOff>
    </xdr:to>
    <xdr:graphicFrame macro="">
      <xdr:nvGraphicFramePr>
        <xdr:cNvPr id="11" name="Chart 10">
          <a:extLst>
            <a:ext uri="{FF2B5EF4-FFF2-40B4-BE49-F238E27FC236}">
              <a16:creationId xmlns:a16="http://schemas.microsoft.com/office/drawing/2014/main" id="{06821D36-7D2B-48D0-B411-4E78B89E944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40</xdr:col>
      <xdr:colOff>95620</xdr:colOff>
      <xdr:row>15</xdr:row>
      <xdr:rowOff>24562</xdr:rowOff>
    </xdr:from>
    <xdr:to>
      <xdr:col>44</xdr:col>
      <xdr:colOff>249220</xdr:colOff>
      <xdr:row>20</xdr:row>
      <xdr:rowOff>246261</xdr:rowOff>
    </xdr:to>
    <xdr:graphicFrame macro="">
      <xdr:nvGraphicFramePr>
        <xdr:cNvPr id="12" name="Chart 11">
          <a:extLst>
            <a:ext uri="{FF2B5EF4-FFF2-40B4-BE49-F238E27FC236}">
              <a16:creationId xmlns:a16="http://schemas.microsoft.com/office/drawing/2014/main" id="{601D6C38-1DEC-4AA4-B575-F041AB64B629}"/>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31</xdr:col>
      <xdr:colOff>222328</xdr:colOff>
      <xdr:row>22</xdr:row>
      <xdr:rowOff>12446</xdr:rowOff>
    </xdr:from>
    <xdr:to>
      <xdr:col>35</xdr:col>
      <xdr:colOff>380411</xdr:colOff>
      <xdr:row>28</xdr:row>
      <xdr:rowOff>43646</xdr:rowOff>
    </xdr:to>
    <xdr:graphicFrame macro="">
      <xdr:nvGraphicFramePr>
        <xdr:cNvPr id="13" name="Chart 12">
          <a:extLst>
            <a:ext uri="{FF2B5EF4-FFF2-40B4-BE49-F238E27FC236}">
              <a16:creationId xmlns:a16="http://schemas.microsoft.com/office/drawing/2014/main" id="{240CDEC3-CAFC-4C00-A29B-D224BF8FD7C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35</xdr:col>
      <xdr:colOff>461826</xdr:colOff>
      <xdr:row>22</xdr:row>
      <xdr:rowOff>12446</xdr:rowOff>
    </xdr:from>
    <xdr:to>
      <xdr:col>40</xdr:col>
      <xdr:colOff>1344</xdr:colOff>
      <xdr:row>28</xdr:row>
      <xdr:rowOff>43646</xdr:rowOff>
    </xdr:to>
    <xdr:graphicFrame macro="">
      <xdr:nvGraphicFramePr>
        <xdr:cNvPr id="14" name="Chart 13">
          <a:extLst>
            <a:ext uri="{FF2B5EF4-FFF2-40B4-BE49-F238E27FC236}">
              <a16:creationId xmlns:a16="http://schemas.microsoft.com/office/drawing/2014/main" id="{0040FAE6-66D4-4240-9ED1-D6241BB1154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95620</xdr:colOff>
      <xdr:row>22</xdr:row>
      <xdr:rowOff>12446</xdr:rowOff>
    </xdr:from>
    <xdr:to>
      <xdr:col>44</xdr:col>
      <xdr:colOff>249219</xdr:colOff>
      <xdr:row>28</xdr:row>
      <xdr:rowOff>43646</xdr:rowOff>
    </xdr:to>
    <xdr:graphicFrame macro="">
      <xdr:nvGraphicFramePr>
        <xdr:cNvPr id="15" name="Chart 14">
          <a:extLst>
            <a:ext uri="{FF2B5EF4-FFF2-40B4-BE49-F238E27FC236}">
              <a16:creationId xmlns:a16="http://schemas.microsoft.com/office/drawing/2014/main" id="{8CDA9B3C-997D-43D7-9F61-B8589BF6DA4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44</xdr:col>
      <xdr:colOff>323667</xdr:colOff>
      <xdr:row>22</xdr:row>
      <xdr:rowOff>12446</xdr:rowOff>
    </xdr:from>
    <xdr:to>
      <xdr:col>48</xdr:col>
      <xdr:colOff>477267</xdr:colOff>
      <xdr:row>28</xdr:row>
      <xdr:rowOff>43646</xdr:rowOff>
    </xdr:to>
    <xdr:graphicFrame macro="">
      <xdr:nvGraphicFramePr>
        <xdr:cNvPr id="16" name="Chart 15">
          <a:extLst>
            <a:ext uri="{FF2B5EF4-FFF2-40B4-BE49-F238E27FC236}">
              <a16:creationId xmlns:a16="http://schemas.microsoft.com/office/drawing/2014/main" id="{AFCBC4AB-3918-42C6-A6A7-DF45E7AE939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31</xdr:col>
      <xdr:colOff>222328</xdr:colOff>
      <xdr:row>7</xdr:row>
      <xdr:rowOff>0</xdr:rowOff>
    </xdr:from>
    <xdr:to>
      <xdr:col>35</xdr:col>
      <xdr:colOff>375928</xdr:colOff>
      <xdr:row>13</xdr:row>
      <xdr:rowOff>258376</xdr:rowOff>
    </xdr:to>
    <xdr:graphicFrame macro="">
      <xdr:nvGraphicFramePr>
        <xdr:cNvPr id="17" name="Chart 16">
          <a:extLst>
            <a:ext uri="{FF2B5EF4-FFF2-40B4-BE49-F238E27FC236}">
              <a16:creationId xmlns:a16="http://schemas.microsoft.com/office/drawing/2014/main" id="{ADC274B0-7972-4897-BF9D-21669A9F3AA7}"/>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35</xdr:col>
      <xdr:colOff>461826</xdr:colOff>
      <xdr:row>7</xdr:row>
      <xdr:rowOff>0</xdr:rowOff>
    </xdr:from>
    <xdr:to>
      <xdr:col>40</xdr:col>
      <xdr:colOff>5826</xdr:colOff>
      <xdr:row>13</xdr:row>
      <xdr:rowOff>257916</xdr:rowOff>
    </xdr:to>
    <xdr:graphicFrame macro="">
      <xdr:nvGraphicFramePr>
        <xdr:cNvPr id="18" name="Chart 17">
          <a:extLst>
            <a:ext uri="{FF2B5EF4-FFF2-40B4-BE49-F238E27FC236}">
              <a16:creationId xmlns:a16="http://schemas.microsoft.com/office/drawing/2014/main" id="{24885DAF-B4F6-49FA-A07C-650FCEC7ACD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40</xdr:col>
      <xdr:colOff>95620</xdr:colOff>
      <xdr:row>7</xdr:row>
      <xdr:rowOff>0</xdr:rowOff>
    </xdr:from>
    <xdr:to>
      <xdr:col>44</xdr:col>
      <xdr:colOff>249220</xdr:colOff>
      <xdr:row>13</xdr:row>
      <xdr:rowOff>259800</xdr:rowOff>
    </xdr:to>
    <xdr:graphicFrame macro="">
      <xdr:nvGraphicFramePr>
        <xdr:cNvPr id="19" name="Chart 18">
          <a:extLst>
            <a:ext uri="{FF2B5EF4-FFF2-40B4-BE49-F238E27FC236}">
              <a16:creationId xmlns:a16="http://schemas.microsoft.com/office/drawing/2014/main" id="{DF41901A-9D8A-4CC8-8061-A0A7F8796466}"/>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31</xdr:col>
      <xdr:colOff>222328</xdr:colOff>
      <xdr:row>15</xdr:row>
      <xdr:rowOff>24561</xdr:rowOff>
    </xdr:from>
    <xdr:to>
      <xdr:col>35</xdr:col>
      <xdr:colOff>375928</xdr:colOff>
      <xdr:row>20</xdr:row>
      <xdr:rowOff>246261</xdr:rowOff>
    </xdr:to>
    <xdr:graphicFrame macro="">
      <xdr:nvGraphicFramePr>
        <xdr:cNvPr id="20" name="Chart 19">
          <a:extLst>
            <a:ext uri="{FF2B5EF4-FFF2-40B4-BE49-F238E27FC236}">
              <a16:creationId xmlns:a16="http://schemas.microsoft.com/office/drawing/2014/main" id="{825BD72D-9FA9-4B08-93CC-CF80CE36F91E}"/>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16</xdr:col>
      <xdr:colOff>427998</xdr:colOff>
      <xdr:row>7</xdr:row>
      <xdr:rowOff>77754</xdr:rowOff>
    </xdr:from>
    <xdr:to>
      <xdr:col>26</xdr:col>
      <xdr:colOff>605875</xdr:colOff>
      <xdr:row>22</xdr:row>
      <xdr:rowOff>224482</xdr:rowOff>
    </xdr:to>
    <xdr:graphicFrame macro="">
      <xdr:nvGraphicFramePr>
        <xdr:cNvPr id="21" name="Chart 20">
          <a:extLst>
            <a:ext uri="{FF2B5EF4-FFF2-40B4-BE49-F238E27FC236}">
              <a16:creationId xmlns:a16="http://schemas.microsoft.com/office/drawing/2014/main" id="{921CEF57-74C2-488E-AB54-B204594F3FE2}"/>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oneCell">
    <xdr:from>
      <xdr:col>49</xdr:col>
      <xdr:colOff>181627</xdr:colOff>
      <xdr:row>6</xdr:row>
      <xdr:rowOff>123826</xdr:rowOff>
    </xdr:from>
    <xdr:to>
      <xdr:col>51</xdr:col>
      <xdr:colOff>494835</xdr:colOff>
      <xdr:row>11</xdr:row>
      <xdr:rowOff>102950</xdr:rowOff>
    </xdr:to>
    <xdr:pic>
      <xdr:nvPicPr>
        <xdr:cNvPr id="22" name="Picture 21">
          <a:extLst>
            <a:ext uri="{FF2B5EF4-FFF2-40B4-BE49-F238E27FC236}">
              <a16:creationId xmlns:a16="http://schemas.microsoft.com/office/drawing/2014/main" id="{EC2484CC-BB21-4F4E-A8FB-5E16924CF47C}"/>
            </a:ext>
          </a:extLst>
        </xdr:cNvPr>
        <xdr:cNvPicPr>
          <a:picLocks noChangeAspect="1"/>
        </xdr:cNvPicPr>
      </xdr:nvPicPr>
      <xdr:blipFill>
        <a:blip xmlns:r="http://schemas.openxmlformats.org/officeDocument/2006/relationships" r:embed="rId21"/>
        <a:stretch>
          <a:fillRect/>
        </a:stretch>
      </xdr:blipFill>
      <xdr:spPr>
        <a:xfrm>
          <a:off x="29661502" y="1390651"/>
          <a:ext cx="1532408" cy="931624"/>
        </a:xfrm>
        <a:prstGeom prst="rect">
          <a:avLst/>
        </a:prstGeom>
      </xdr:spPr>
    </xdr:pic>
    <xdr:clientData/>
  </xdr:twoCellAnchor>
  <xdr:twoCellAnchor editAs="oneCell">
    <xdr:from>
      <xdr:col>51</xdr:col>
      <xdr:colOff>565807</xdr:colOff>
      <xdr:row>6</xdr:row>
      <xdr:rowOff>123826</xdr:rowOff>
    </xdr:from>
    <xdr:to>
      <xdr:col>54</xdr:col>
      <xdr:colOff>265762</xdr:colOff>
      <xdr:row>11</xdr:row>
      <xdr:rowOff>102950</xdr:rowOff>
    </xdr:to>
    <xdr:pic>
      <xdr:nvPicPr>
        <xdr:cNvPr id="23" name="Picture 22">
          <a:extLst>
            <a:ext uri="{FF2B5EF4-FFF2-40B4-BE49-F238E27FC236}">
              <a16:creationId xmlns:a16="http://schemas.microsoft.com/office/drawing/2014/main" id="{1F587456-BDD0-48ED-BD6A-1DB2E7FD4092}"/>
            </a:ext>
          </a:extLst>
        </xdr:cNvPr>
        <xdr:cNvPicPr>
          <a:picLocks noChangeAspect="1"/>
        </xdr:cNvPicPr>
      </xdr:nvPicPr>
      <xdr:blipFill>
        <a:blip xmlns:r="http://schemas.openxmlformats.org/officeDocument/2006/relationships" r:embed="rId22"/>
        <a:stretch>
          <a:fillRect/>
        </a:stretch>
      </xdr:blipFill>
      <xdr:spPr>
        <a:xfrm>
          <a:off x="31264882" y="1390651"/>
          <a:ext cx="1528755" cy="931624"/>
        </a:xfrm>
        <a:prstGeom prst="rect">
          <a:avLst/>
        </a:prstGeom>
      </xdr:spPr>
    </xdr:pic>
    <xdr:clientData/>
  </xdr:twoCellAnchor>
  <xdr:twoCellAnchor editAs="oneCell">
    <xdr:from>
      <xdr:col>49</xdr:col>
      <xdr:colOff>181627</xdr:colOff>
      <xdr:row>11</xdr:row>
      <xdr:rowOff>208409</xdr:rowOff>
    </xdr:from>
    <xdr:to>
      <xdr:col>51</xdr:col>
      <xdr:colOff>493391</xdr:colOff>
      <xdr:row>15</xdr:row>
      <xdr:rowOff>120858</xdr:rowOff>
    </xdr:to>
    <xdr:pic>
      <xdr:nvPicPr>
        <xdr:cNvPr id="24" name="Picture 23">
          <a:extLst>
            <a:ext uri="{FF2B5EF4-FFF2-40B4-BE49-F238E27FC236}">
              <a16:creationId xmlns:a16="http://schemas.microsoft.com/office/drawing/2014/main" id="{877F98F9-4F75-417C-A91F-1413EC3B475A}"/>
            </a:ext>
          </a:extLst>
        </xdr:cNvPr>
        <xdr:cNvPicPr>
          <a:picLocks noChangeAspect="1"/>
        </xdr:cNvPicPr>
      </xdr:nvPicPr>
      <xdr:blipFill>
        <a:blip xmlns:r="http://schemas.openxmlformats.org/officeDocument/2006/relationships" r:embed="rId23"/>
        <a:stretch>
          <a:fillRect/>
        </a:stretch>
      </xdr:blipFill>
      <xdr:spPr>
        <a:xfrm>
          <a:off x="29661502" y="2427734"/>
          <a:ext cx="1530964" cy="969724"/>
        </a:xfrm>
        <a:prstGeom prst="rect">
          <a:avLst/>
        </a:prstGeom>
      </xdr:spPr>
    </xdr:pic>
    <xdr:clientData/>
  </xdr:twoCellAnchor>
  <xdr:twoCellAnchor editAs="oneCell">
    <xdr:from>
      <xdr:col>49</xdr:col>
      <xdr:colOff>181627</xdr:colOff>
      <xdr:row>15</xdr:row>
      <xdr:rowOff>221456</xdr:rowOff>
    </xdr:from>
    <xdr:to>
      <xdr:col>51</xdr:col>
      <xdr:colOff>493340</xdr:colOff>
      <xdr:row>19</xdr:row>
      <xdr:rowOff>133308</xdr:rowOff>
    </xdr:to>
    <xdr:pic>
      <xdr:nvPicPr>
        <xdr:cNvPr id="25" name="Picture 24">
          <a:extLst>
            <a:ext uri="{FF2B5EF4-FFF2-40B4-BE49-F238E27FC236}">
              <a16:creationId xmlns:a16="http://schemas.microsoft.com/office/drawing/2014/main" id="{9B383C0D-2729-4614-AA14-7271440581FE}"/>
            </a:ext>
          </a:extLst>
        </xdr:cNvPr>
        <xdr:cNvPicPr>
          <a:picLocks noChangeAspect="1"/>
        </xdr:cNvPicPr>
      </xdr:nvPicPr>
      <xdr:blipFill>
        <a:blip xmlns:r="http://schemas.openxmlformats.org/officeDocument/2006/relationships" r:embed="rId24"/>
        <a:stretch>
          <a:fillRect/>
        </a:stretch>
      </xdr:blipFill>
      <xdr:spPr>
        <a:xfrm>
          <a:off x="29661502" y="3507581"/>
          <a:ext cx="1530913" cy="950077"/>
        </a:xfrm>
        <a:prstGeom prst="rect">
          <a:avLst/>
        </a:prstGeom>
      </xdr:spPr>
    </xdr:pic>
    <xdr:clientData/>
  </xdr:twoCellAnchor>
  <xdr:twoCellAnchor editAs="oneCell">
    <xdr:from>
      <xdr:col>51</xdr:col>
      <xdr:colOff>565807</xdr:colOff>
      <xdr:row>11</xdr:row>
      <xdr:rowOff>239016</xdr:rowOff>
    </xdr:from>
    <xdr:to>
      <xdr:col>54</xdr:col>
      <xdr:colOff>271573</xdr:colOff>
      <xdr:row>15</xdr:row>
      <xdr:rowOff>120858</xdr:rowOff>
    </xdr:to>
    <xdr:pic>
      <xdr:nvPicPr>
        <xdr:cNvPr id="26" name="Picture 25">
          <a:extLst>
            <a:ext uri="{FF2B5EF4-FFF2-40B4-BE49-F238E27FC236}">
              <a16:creationId xmlns:a16="http://schemas.microsoft.com/office/drawing/2014/main" id="{F589BC41-A918-457F-9B81-C92BE264E66D}"/>
            </a:ext>
          </a:extLst>
        </xdr:cNvPr>
        <xdr:cNvPicPr>
          <a:picLocks noChangeAspect="1"/>
        </xdr:cNvPicPr>
      </xdr:nvPicPr>
      <xdr:blipFill>
        <a:blip xmlns:r="http://schemas.openxmlformats.org/officeDocument/2006/relationships" r:embed="rId25"/>
        <a:stretch>
          <a:fillRect/>
        </a:stretch>
      </xdr:blipFill>
      <xdr:spPr>
        <a:xfrm>
          <a:off x="31264882" y="2458341"/>
          <a:ext cx="1534566" cy="939117"/>
        </a:xfrm>
        <a:prstGeom prst="rect">
          <a:avLst/>
        </a:prstGeom>
      </xdr:spPr>
    </xdr:pic>
    <xdr:clientData/>
  </xdr:twoCellAnchor>
  <xdr:twoCellAnchor editAs="oneCell">
    <xdr:from>
      <xdr:col>51</xdr:col>
      <xdr:colOff>565807</xdr:colOff>
      <xdr:row>15</xdr:row>
      <xdr:rowOff>221456</xdr:rowOff>
    </xdr:from>
    <xdr:to>
      <xdr:col>54</xdr:col>
      <xdr:colOff>262158</xdr:colOff>
      <xdr:row>19</xdr:row>
      <xdr:rowOff>133307</xdr:rowOff>
    </xdr:to>
    <xdr:pic>
      <xdr:nvPicPr>
        <xdr:cNvPr id="27" name="Picture 26">
          <a:extLst>
            <a:ext uri="{FF2B5EF4-FFF2-40B4-BE49-F238E27FC236}">
              <a16:creationId xmlns:a16="http://schemas.microsoft.com/office/drawing/2014/main" id="{7A8BEC63-0D91-4EF2-A89F-97D3A214E176}"/>
            </a:ext>
          </a:extLst>
        </xdr:cNvPr>
        <xdr:cNvPicPr>
          <a:picLocks noChangeAspect="1"/>
        </xdr:cNvPicPr>
      </xdr:nvPicPr>
      <xdr:blipFill>
        <a:blip xmlns:r="http://schemas.openxmlformats.org/officeDocument/2006/relationships" r:embed="rId26"/>
        <a:stretch>
          <a:fillRect/>
        </a:stretch>
      </xdr:blipFill>
      <xdr:spPr>
        <a:xfrm>
          <a:off x="31264882" y="3507581"/>
          <a:ext cx="1525151" cy="950076"/>
        </a:xfrm>
        <a:prstGeom prst="rect">
          <a:avLst/>
        </a:prstGeom>
      </xdr:spPr>
    </xdr:pic>
    <xdr:clientData/>
  </xdr:twoCellAnchor>
  <xdr:twoCellAnchor editAs="oneCell">
    <xdr:from>
      <xdr:col>49</xdr:col>
      <xdr:colOff>181627</xdr:colOff>
      <xdr:row>19</xdr:row>
      <xdr:rowOff>194518</xdr:rowOff>
    </xdr:from>
    <xdr:to>
      <xdr:col>51</xdr:col>
      <xdr:colOff>496941</xdr:colOff>
      <xdr:row>23</xdr:row>
      <xdr:rowOff>125456</xdr:rowOff>
    </xdr:to>
    <xdr:pic>
      <xdr:nvPicPr>
        <xdr:cNvPr id="28" name="Picture 27">
          <a:extLst>
            <a:ext uri="{FF2B5EF4-FFF2-40B4-BE49-F238E27FC236}">
              <a16:creationId xmlns:a16="http://schemas.microsoft.com/office/drawing/2014/main" id="{80396243-52B0-40B4-BD83-B60D9C7B3C9A}"/>
            </a:ext>
          </a:extLst>
        </xdr:cNvPr>
        <xdr:cNvPicPr>
          <a:picLocks noChangeAspect="1"/>
        </xdr:cNvPicPr>
      </xdr:nvPicPr>
      <xdr:blipFill>
        <a:blip xmlns:r="http://schemas.openxmlformats.org/officeDocument/2006/relationships" r:embed="rId27"/>
        <a:stretch>
          <a:fillRect/>
        </a:stretch>
      </xdr:blipFill>
      <xdr:spPr>
        <a:xfrm>
          <a:off x="29661502" y="4547443"/>
          <a:ext cx="1534514" cy="959638"/>
        </a:xfrm>
        <a:prstGeom prst="rect">
          <a:avLst/>
        </a:prstGeom>
      </xdr:spPr>
    </xdr:pic>
    <xdr:clientData/>
  </xdr:twoCellAnchor>
  <xdr:twoCellAnchor editAs="oneCell">
    <xdr:from>
      <xdr:col>51</xdr:col>
      <xdr:colOff>565807</xdr:colOff>
      <xdr:row>19</xdr:row>
      <xdr:rowOff>177745</xdr:rowOff>
    </xdr:from>
    <xdr:to>
      <xdr:col>54</xdr:col>
      <xdr:colOff>264317</xdr:colOff>
      <xdr:row>23</xdr:row>
      <xdr:rowOff>125456</xdr:rowOff>
    </xdr:to>
    <xdr:pic>
      <xdr:nvPicPr>
        <xdr:cNvPr id="29" name="Picture 28">
          <a:extLst>
            <a:ext uri="{FF2B5EF4-FFF2-40B4-BE49-F238E27FC236}">
              <a16:creationId xmlns:a16="http://schemas.microsoft.com/office/drawing/2014/main" id="{76C40F33-5D4C-4E89-BD79-1BF0D16D9C97}"/>
            </a:ext>
          </a:extLst>
        </xdr:cNvPr>
        <xdr:cNvPicPr>
          <a:picLocks noChangeAspect="1"/>
        </xdr:cNvPicPr>
      </xdr:nvPicPr>
      <xdr:blipFill>
        <a:blip xmlns:r="http://schemas.openxmlformats.org/officeDocument/2006/relationships" r:embed="rId28"/>
        <a:stretch>
          <a:fillRect/>
        </a:stretch>
      </xdr:blipFill>
      <xdr:spPr>
        <a:xfrm>
          <a:off x="31264882" y="4530670"/>
          <a:ext cx="1527310" cy="976411"/>
        </a:xfrm>
        <a:prstGeom prst="rect">
          <a:avLst/>
        </a:prstGeom>
      </xdr:spPr>
    </xdr:pic>
    <xdr:clientData/>
  </xdr:twoCellAnchor>
  <xdr:twoCellAnchor editAs="oneCell">
    <xdr:from>
      <xdr:col>50</xdr:col>
      <xdr:colOff>433975</xdr:colOff>
      <xdr:row>23</xdr:row>
      <xdr:rowOff>213726</xdr:rowOff>
    </xdr:from>
    <xdr:to>
      <xdr:col>53</xdr:col>
      <xdr:colOff>133980</xdr:colOff>
      <xdr:row>27</xdr:row>
      <xdr:rowOff>173654</xdr:rowOff>
    </xdr:to>
    <xdr:pic>
      <xdr:nvPicPr>
        <xdr:cNvPr id="30" name="Picture 29">
          <a:extLst>
            <a:ext uri="{FF2B5EF4-FFF2-40B4-BE49-F238E27FC236}">
              <a16:creationId xmlns:a16="http://schemas.microsoft.com/office/drawing/2014/main" id="{CA8A195A-5E88-4640-8D8B-F90939703F4C}"/>
            </a:ext>
          </a:extLst>
        </xdr:cNvPr>
        <xdr:cNvPicPr>
          <a:picLocks noChangeAspect="1"/>
        </xdr:cNvPicPr>
      </xdr:nvPicPr>
      <xdr:blipFill>
        <a:blip xmlns:r="http://schemas.openxmlformats.org/officeDocument/2006/relationships" r:embed="rId29"/>
        <a:stretch>
          <a:fillRect/>
        </a:stretch>
      </xdr:blipFill>
      <xdr:spPr>
        <a:xfrm>
          <a:off x="30523450" y="5633451"/>
          <a:ext cx="1528805" cy="988628"/>
        </a:xfrm>
        <a:prstGeom prst="rect">
          <a:avLst/>
        </a:prstGeom>
      </xdr:spPr>
    </xdr:pic>
    <xdr:clientData/>
  </xdr:twoCellAnchor>
  <xdr:twoCellAnchor editAs="oneCell">
    <xdr:from>
      <xdr:col>10</xdr:col>
      <xdr:colOff>152400</xdr:colOff>
      <xdr:row>29</xdr:row>
      <xdr:rowOff>142875</xdr:rowOff>
    </xdr:from>
    <xdr:to>
      <xdr:col>23</xdr:col>
      <xdr:colOff>0</xdr:colOff>
      <xdr:row>35</xdr:row>
      <xdr:rowOff>147260</xdr:rowOff>
    </xdr:to>
    <xdr:pic>
      <xdr:nvPicPr>
        <xdr:cNvPr id="31" name="Picture 30">
          <a:extLst>
            <a:ext uri="{FF2B5EF4-FFF2-40B4-BE49-F238E27FC236}">
              <a16:creationId xmlns:a16="http://schemas.microsoft.com/office/drawing/2014/main" id="{CD82097D-6A46-4BCD-BECA-AD41911B5469}"/>
            </a:ext>
          </a:extLst>
        </xdr:cNvPr>
        <xdr:cNvPicPr>
          <a:picLocks noChangeAspect="1"/>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6248400" y="7010400"/>
          <a:ext cx="7772400" cy="114738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2D719F8-91F5-49EC-8DAD-0194FAF5E0C1}"/>
            </a:ext>
          </a:extLst>
        </xdr:cNvPr>
        <xdr:cNvSpPr/>
      </xdr:nvSpPr>
      <xdr:spPr>
        <a:xfrm>
          <a:off x="180975" y="142875"/>
          <a:ext cx="361950" cy="381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1</xdr:col>
      <xdr:colOff>29823</xdr:colOff>
      <xdr:row>16</xdr:row>
      <xdr:rowOff>142254</xdr:rowOff>
    </xdr:from>
    <xdr:to>
      <xdr:col>1</xdr:col>
      <xdr:colOff>292623</xdr:colOff>
      <xdr:row>17</xdr:row>
      <xdr:rowOff>178545</xdr:rowOff>
    </xdr:to>
    <xdr:pic>
      <xdr:nvPicPr>
        <xdr:cNvPr id="3" name="Picture 2">
          <a:extLst>
            <a:ext uri="{FF2B5EF4-FFF2-40B4-BE49-F238E27FC236}">
              <a16:creationId xmlns:a16="http://schemas.microsoft.com/office/drawing/2014/main" id="{AB079F65-DCE4-496B-8FE7-C5D621763436}"/>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9423" y="3647454"/>
          <a:ext cx="262800" cy="293466"/>
        </a:xfrm>
        <a:prstGeom prst="rect">
          <a:avLst/>
        </a:prstGeom>
      </xdr:spPr>
    </xdr:pic>
    <xdr:clientData/>
  </xdr:twoCellAnchor>
  <xdr:twoCellAnchor editAs="oneCell">
    <xdr:from>
      <xdr:col>1</xdr:col>
      <xdr:colOff>7403</xdr:colOff>
      <xdr:row>11</xdr:row>
      <xdr:rowOff>7928</xdr:rowOff>
    </xdr:from>
    <xdr:to>
      <xdr:col>1</xdr:col>
      <xdr:colOff>295403</xdr:colOff>
      <xdr:row>12</xdr:row>
      <xdr:rowOff>30799</xdr:rowOff>
    </xdr:to>
    <xdr:pic>
      <xdr:nvPicPr>
        <xdr:cNvPr id="4" name="Picture 3">
          <a:extLst>
            <a:ext uri="{FF2B5EF4-FFF2-40B4-BE49-F238E27FC236}">
              <a16:creationId xmlns:a16="http://schemas.microsoft.com/office/drawing/2014/main" id="{C5A9C51E-3993-4BC1-A806-7AA6FDCC532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7003" y="2189153"/>
          <a:ext cx="288000" cy="289571"/>
        </a:xfrm>
        <a:prstGeom prst="rect">
          <a:avLst/>
        </a:prstGeom>
      </xdr:spPr>
    </xdr:pic>
    <xdr:clientData/>
  </xdr:twoCellAnchor>
  <xdr:twoCellAnchor editAs="oneCell">
    <xdr:from>
      <xdr:col>1</xdr:col>
      <xdr:colOff>4928</xdr:colOff>
      <xdr:row>23</xdr:row>
      <xdr:rowOff>6252</xdr:rowOff>
    </xdr:from>
    <xdr:to>
      <xdr:col>1</xdr:col>
      <xdr:colOff>297878</xdr:colOff>
      <xdr:row>24</xdr:row>
      <xdr:rowOff>42543</xdr:rowOff>
    </xdr:to>
    <xdr:pic>
      <xdr:nvPicPr>
        <xdr:cNvPr id="5" name="Picture 4">
          <a:extLst>
            <a:ext uri="{FF2B5EF4-FFF2-40B4-BE49-F238E27FC236}">
              <a16:creationId xmlns:a16="http://schemas.microsoft.com/office/drawing/2014/main" id="{2317E416-D39F-4153-B698-1E0CA11AF96C}"/>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528" y="5311677"/>
          <a:ext cx="292950" cy="293466"/>
        </a:xfrm>
        <a:prstGeom prst="rect">
          <a:avLst/>
        </a:prstGeom>
      </xdr:spPr>
    </xdr:pic>
    <xdr:clientData/>
  </xdr:twoCellAnchor>
  <xdr:twoCellAnchor editAs="oneCell">
    <xdr:from>
      <xdr:col>1</xdr:col>
      <xdr:colOff>5603</xdr:colOff>
      <xdr:row>20</xdr:row>
      <xdr:rowOff>0</xdr:rowOff>
    </xdr:from>
    <xdr:to>
      <xdr:col>1</xdr:col>
      <xdr:colOff>297203</xdr:colOff>
      <xdr:row>20</xdr:row>
      <xdr:rowOff>249932</xdr:rowOff>
    </xdr:to>
    <xdr:pic>
      <xdr:nvPicPr>
        <xdr:cNvPr id="6" name="Picture 5">
          <a:extLst>
            <a:ext uri="{FF2B5EF4-FFF2-40B4-BE49-F238E27FC236}">
              <a16:creationId xmlns:a16="http://schemas.microsoft.com/office/drawing/2014/main" id="{DF7ACAB0-4210-4876-910A-9024881D7786}"/>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5203" y="4533900"/>
          <a:ext cx="291600" cy="249932"/>
        </a:xfrm>
        <a:prstGeom prst="rect">
          <a:avLst/>
        </a:prstGeom>
      </xdr:spPr>
    </xdr:pic>
    <xdr:clientData/>
  </xdr:twoCellAnchor>
  <xdr:twoCellAnchor editAs="oneCell">
    <xdr:from>
      <xdr:col>1</xdr:col>
      <xdr:colOff>21803</xdr:colOff>
      <xdr:row>13</xdr:row>
      <xdr:rowOff>212341</xdr:rowOff>
    </xdr:from>
    <xdr:to>
      <xdr:col>1</xdr:col>
      <xdr:colOff>281003</xdr:colOff>
      <xdr:row>14</xdr:row>
      <xdr:rowOff>238812</xdr:rowOff>
    </xdr:to>
    <xdr:pic>
      <xdr:nvPicPr>
        <xdr:cNvPr id="7" name="Picture 6">
          <a:extLst>
            <a:ext uri="{FF2B5EF4-FFF2-40B4-BE49-F238E27FC236}">
              <a16:creationId xmlns:a16="http://schemas.microsoft.com/office/drawing/2014/main" id="{1DA1BD98-946B-4B2F-A36A-EBB49467D03D}"/>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31403" y="2926966"/>
          <a:ext cx="259200" cy="293171"/>
        </a:xfrm>
        <a:prstGeom prst="rect">
          <a:avLst/>
        </a:prstGeom>
      </xdr:spPr>
    </xdr:pic>
    <xdr:clientData/>
  </xdr:twoCellAnchor>
  <xdr:twoCellAnchor editAs="oneCell">
    <xdr:from>
      <xdr:col>1</xdr:col>
      <xdr:colOff>5603</xdr:colOff>
      <xdr:row>26</xdr:row>
      <xdr:rowOff>2561</xdr:rowOff>
    </xdr:from>
    <xdr:to>
      <xdr:col>1</xdr:col>
      <xdr:colOff>297203</xdr:colOff>
      <xdr:row>27</xdr:row>
      <xdr:rowOff>38852</xdr:rowOff>
    </xdr:to>
    <xdr:pic>
      <xdr:nvPicPr>
        <xdr:cNvPr id="8" name="Picture 7">
          <a:extLst>
            <a:ext uri="{FF2B5EF4-FFF2-40B4-BE49-F238E27FC236}">
              <a16:creationId xmlns:a16="http://schemas.microsoft.com/office/drawing/2014/main" id="{CB59F7F2-0ACB-4326-BB71-473F17B65175}"/>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5203" y="6079511"/>
          <a:ext cx="291600" cy="293466"/>
        </a:xfrm>
        <a:prstGeom prst="rect">
          <a:avLst/>
        </a:prstGeom>
      </xdr:spPr>
    </xdr:pic>
    <xdr:clientData/>
  </xdr:twoCellAnchor>
  <xdr:twoCellAnchor editAs="oneCell">
    <xdr:from>
      <xdr:col>1</xdr:col>
      <xdr:colOff>0</xdr:colOff>
      <xdr:row>5</xdr:row>
      <xdr:rowOff>0</xdr:rowOff>
    </xdr:from>
    <xdr:to>
      <xdr:col>4</xdr:col>
      <xdr:colOff>66675</xdr:colOff>
      <xdr:row>7</xdr:row>
      <xdr:rowOff>102490</xdr:rowOff>
    </xdr:to>
    <xdr:pic>
      <xdr:nvPicPr>
        <xdr:cNvPr id="9" name="Picture 8">
          <a:extLst>
            <a:ext uri="{FF2B5EF4-FFF2-40B4-BE49-F238E27FC236}">
              <a16:creationId xmlns:a16="http://schemas.microsoft.com/office/drawing/2014/main" id="{EDA10AC3-D824-40B2-A1AB-72876840360E}"/>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9600" y="1038225"/>
          <a:ext cx="1895475" cy="483490"/>
        </a:xfrm>
        <a:prstGeom prst="rect">
          <a:avLst/>
        </a:prstGeom>
      </xdr:spPr>
    </xdr:pic>
    <xdr:clientData/>
  </xdr:twoCellAnchor>
  <xdr:twoCellAnchor>
    <xdr:from>
      <xdr:col>41</xdr:col>
      <xdr:colOff>304800</xdr:colOff>
      <xdr:row>88</xdr:row>
      <xdr:rowOff>114300</xdr:rowOff>
    </xdr:from>
    <xdr:to>
      <xdr:col>49</xdr:col>
      <xdr:colOff>0</xdr:colOff>
      <xdr:row>103</xdr:row>
      <xdr:rowOff>0</xdr:rowOff>
    </xdr:to>
    <xdr:graphicFrame macro="">
      <xdr:nvGraphicFramePr>
        <xdr:cNvPr id="10" name="Chart 9">
          <a:extLst>
            <a:ext uri="{FF2B5EF4-FFF2-40B4-BE49-F238E27FC236}">
              <a16:creationId xmlns:a16="http://schemas.microsoft.com/office/drawing/2014/main" id="{9ABE8162-CEC9-4251-B83F-6EAE87B695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29</xdr:col>
      <xdr:colOff>0</xdr:colOff>
      <xdr:row>105</xdr:row>
      <xdr:rowOff>114300</xdr:rowOff>
    </xdr:from>
    <xdr:to>
      <xdr:col>36</xdr:col>
      <xdr:colOff>304800</xdr:colOff>
      <xdr:row>120</xdr:row>
      <xdr:rowOff>0</xdr:rowOff>
    </xdr:to>
    <xdr:graphicFrame macro="">
      <xdr:nvGraphicFramePr>
        <xdr:cNvPr id="11" name="Chart 10">
          <a:extLst>
            <a:ext uri="{FF2B5EF4-FFF2-40B4-BE49-F238E27FC236}">
              <a16:creationId xmlns:a16="http://schemas.microsoft.com/office/drawing/2014/main" id="{BD79FE90-1901-491C-AD1B-14DB519A18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36</xdr:col>
      <xdr:colOff>485775</xdr:colOff>
      <xdr:row>105</xdr:row>
      <xdr:rowOff>95250</xdr:rowOff>
    </xdr:from>
    <xdr:to>
      <xdr:col>44</xdr:col>
      <xdr:colOff>180975</xdr:colOff>
      <xdr:row>119</xdr:row>
      <xdr:rowOff>171450</xdr:rowOff>
    </xdr:to>
    <xdr:graphicFrame macro="">
      <xdr:nvGraphicFramePr>
        <xdr:cNvPr id="12" name="Chart 11">
          <a:extLst>
            <a:ext uri="{FF2B5EF4-FFF2-40B4-BE49-F238E27FC236}">
              <a16:creationId xmlns:a16="http://schemas.microsoft.com/office/drawing/2014/main" id="{5C283FE0-5234-4FF6-B108-738F80E0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485775</xdr:colOff>
      <xdr:row>105</xdr:row>
      <xdr:rowOff>95250</xdr:rowOff>
    </xdr:from>
    <xdr:to>
      <xdr:col>52</xdr:col>
      <xdr:colOff>180975</xdr:colOff>
      <xdr:row>119</xdr:row>
      <xdr:rowOff>171450</xdr:rowOff>
    </xdr:to>
    <xdr:graphicFrame macro="">
      <xdr:nvGraphicFramePr>
        <xdr:cNvPr id="13" name="Chart 12">
          <a:extLst>
            <a:ext uri="{FF2B5EF4-FFF2-40B4-BE49-F238E27FC236}">
              <a16:creationId xmlns:a16="http://schemas.microsoft.com/office/drawing/2014/main" id="{CFB42D48-4B61-46BD-898B-55C526B665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52</xdr:col>
      <xdr:colOff>450272</xdr:colOff>
      <xdr:row>105</xdr:row>
      <xdr:rowOff>103909</xdr:rowOff>
    </xdr:from>
    <xdr:to>
      <xdr:col>60</xdr:col>
      <xdr:colOff>148935</xdr:colOff>
      <xdr:row>119</xdr:row>
      <xdr:rowOff>180109</xdr:rowOff>
    </xdr:to>
    <xdr:graphicFrame macro="">
      <xdr:nvGraphicFramePr>
        <xdr:cNvPr id="14" name="Chart 13">
          <a:extLst>
            <a:ext uri="{FF2B5EF4-FFF2-40B4-BE49-F238E27FC236}">
              <a16:creationId xmlns:a16="http://schemas.microsoft.com/office/drawing/2014/main" id="{3D281649-0656-4603-87C5-ADF8BAC6E1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60</xdr:col>
      <xdr:colOff>51955</xdr:colOff>
      <xdr:row>105</xdr:row>
      <xdr:rowOff>114300</xdr:rowOff>
    </xdr:from>
    <xdr:to>
      <xdr:col>67</xdr:col>
      <xdr:colOff>353292</xdr:colOff>
      <xdr:row>120</xdr:row>
      <xdr:rowOff>0</xdr:rowOff>
    </xdr:to>
    <xdr:graphicFrame macro="">
      <xdr:nvGraphicFramePr>
        <xdr:cNvPr id="15" name="Chart 14">
          <a:extLst>
            <a:ext uri="{FF2B5EF4-FFF2-40B4-BE49-F238E27FC236}">
              <a16:creationId xmlns:a16="http://schemas.microsoft.com/office/drawing/2014/main" id="{93AB771B-C310-4435-9BD5-E4EB66FB6F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28</xdr:col>
      <xdr:colOff>180109</xdr:colOff>
      <xdr:row>121</xdr:row>
      <xdr:rowOff>114300</xdr:rowOff>
    </xdr:from>
    <xdr:to>
      <xdr:col>36</xdr:col>
      <xdr:colOff>259773</xdr:colOff>
      <xdr:row>136</xdr:row>
      <xdr:rowOff>0</xdr:rowOff>
    </xdr:to>
    <xdr:graphicFrame macro="">
      <xdr:nvGraphicFramePr>
        <xdr:cNvPr id="16" name="Chart 15">
          <a:extLst>
            <a:ext uri="{FF2B5EF4-FFF2-40B4-BE49-F238E27FC236}">
              <a16:creationId xmlns:a16="http://schemas.microsoft.com/office/drawing/2014/main" id="{CF2B406B-710C-4354-B1E4-8E60E17080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37</xdr:col>
      <xdr:colOff>3464</xdr:colOff>
      <xdr:row>121</xdr:row>
      <xdr:rowOff>79664</xdr:rowOff>
    </xdr:from>
    <xdr:to>
      <xdr:col>44</xdr:col>
      <xdr:colOff>304800</xdr:colOff>
      <xdr:row>135</xdr:row>
      <xdr:rowOff>155864</xdr:rowOff>
    </xdr:to>
    <xdr:graphicFrame macro="">
      <xdr:nvGraphicFramePr>
        <xdr:cNvPr id="17" name="Chart 16">
          <a:extLst>
            <a:ext uri="{FF2B5EF4-FFF2-40B4-BE49-F238E27FC236}">
              <a16:creationId xmlns:a16="http://schemas.microsoft.com/office/drawing/2014/main" id="{6AF97AC1-3ECF-4443-84EF-EF1A15CC1B6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44</xdr:col>
      <xdr:colOff>304800</xdr:colOff>
      <xdr:row>121</xdr:row>
      <xdr:rowOff>114300</xdr:rowOff>
    </xdr:from>
    <xdr:to>
      <xdr:col>52</xdr:col>
      <xdr:colOff>0</xdr:colOff>
      <xdr:row>136</xdr:row>
      <xdr:rowOff>0</xdr:rowOff>
    </xdr:to>
    <xdr:graphicFrame macro="">
      <xdr:nvGraphicFramePr>
        <xdr:cNvPr id="18" name="Chart 17">
          <a:extLst>
            <a:ext uri="{FF2B5EF4-FFF2-40B4-BE49-F238E27FC236}">
              <a16:creationId xmlns:a16="http://schemas.microsoft.com/office/drawing/2014/main" id="{145F3B4A-6E76-4853-8F10-BF836A4762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52</xdr:col>
      <xdr:colOff>304800</xdr:colOff>
      <xdr:row>120</xdr:row>
      <xdr:rowOff>114300</xdr:rowOff>
    </xdr:from>
    <xdr:to>
      <xdr:col>60</xdr:col>
      <xdr:colOff>0</xdr:colOff>
      <xdr:row>135</xdr:row>
      <xdr:rowOff>0</xdr:rowOff>
    </xdr:to>
    <xdr:graphicFrame macro="">
      <xdr:nvGraphicFramePr>
        <xdr:cNvPr id="19" name="Chart 18">
          <a:extLst>
            <a:ext uri="{FF2B5EF4-FFF2-40B4-BE49-F238E27FC236}">
              <a16:creationId xmlns:a16="http://schemas.microsoft.com/office/drawing/2014/main" id="{EE1B3318-6458-4BAA-8939-B0F906BE17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138545</xdr:colOff>
      <xdr:row>120</xdr:row>
      <xdr:rowOff>69273</xdr:rowOff>
    </xdr:from>
    <xdr:to>
      <xdr:col>67</xdr:col>
      <xdr:colOff>467591</xdr:colOff>
      <xdr:row>134</xdr:row>
      <xdr:rowOff>145473</xdr:rowOff>
    </xdr:to>
    <xdr:graphicFrame macro="">
      <xdr:nvGraphicFramePr>
        <xdr:cNvPr id="20" name="Chart 19">
          <a:extLst>
            <a:ext uri="{FF2B5EF4-FFF2-40B4-BE49-F238E27FC236}">
              <a16:creationId xmlns:a16="http://schemas.microsoft.com/office/drawing/2014/main" id="{C0A369BB-8FA6-4C24-AE27-72B33C5C94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33</xdr:col>
      <xdr:colOff>287494</xdr:colOff>
      <xdr:row>148</xdr:row>
      <xdr:rowOff>73096</xdr:rowOff>
    </xdr:from>
    <xdr:to>
      <xdr:col>37</xdr:col>
      <xdr:colOff>484390</xdr:colOff>
      <xdr:row>157</xdr:row>
      <xdr:rowOff>54417</xdr:rowOff>
    </xdr:to>
    <xdr:graphicFrame macro="">
      <xdr:nvGraphicFramePr>
        <xdr:cNvPr id="21" name="Chart 20">
          <a:extLst>
            <a:ext uri="{FF2B5EF4-FFF2-40B4-BE49-F238E27FC236}">
              <a16:creationId xmlns:a16="http://schemas.microsoft.com/office/drawing/2014/main" id="{1C1630EE-A0CA-4F28-BDE7-EC1EB8625B95}"/>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37</xdr:col>
      <xdr:colOff>580450</xdr:colOff>
      <xdr:row>148</xdr:row>
      <xdr:rowOff>71926</xdr:rowOff>
    </xdr:from>
    <xdr:to>
      <xdr:col>42</xdr:col>
      <xdr:colOff>172303</xdr:colOff>
      <xdr:row>157</xdr:row>
      <xdr:rowOff>54417</xdr:rowOff>
    </xdr:to>
    <xdr:graphicFrame macro="">
      <xdr:nvGraphicFramePr>
        <xdr:cNvPr id="22" name="Chart 21">
          <a:extLst>
            <a:ext uri="{FF2B5EF4-FFF2-40B4-BE49-F238E27FC236}">
              <a16:creationId xmlns:a16="http://schemas.microsoft.com/office/drawing/2014/main" id="{73FA90EC-ECDB-4224-B64A-F9D8A529DDA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29</xdr:col>
      <xdr:colOff>4700</xdr:colOff>
      <xdr:row>158</xdr:row>
      <xdr:rowOff>184067</xdr:rowOff>
    </xdr:from>
    <xdr:to>
      <xdr:col>33</xdr:col>
      <xdr:colOff>206079</xdr:colOff>
      <xdr:row>167</xdr:row>
      <xdr:rowOff>166561</xdr:rowOff>
    </xdr:to>
    <xdr:graphicFrame macro="">
      <xdr:nvGraphicFramePr>
        <xdr:cNvPr id="23" name="Chart 22">
          <a:extLst>
            <a:ext uri="{FF2B5EF4-FFF2-40B4-BE49-F238E27FC236}">
              <a16:creationId xmlns:a16="http://schemas.microsoft.com/office/drawing/2014/main" id="{6DD752CC-6E11-453A-A515-F4536F70A6D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33</xdr:col>
      <xdr:colOff>287494</xdr:colOff>
      <xdr:row>158</xdr:row>
      <xdr:rowOff>184067</xdr:rowOff>
    </xdr:from>
    <xdr:to>
      <xdr:col>37</xdr:col>
      <xdr:colOff>479908</xdr:colOff>
      <xdr:row>167</xdr:row>
      <xdr:rowOff>166561</xdr:rowOff>
    </xdr:to>
    <xdr:graphicFrame macro="">
      <xdr:nvGraphicFramePr>
        <xdr:cNvPr id="24" name="Chart 23">
          <a:extLst>
            <a:ext uri="{FF2B5EF4-FFF2-40B4-BE49-F238E27FC236}">
              <a16:creationId xmlns:a16="http://schemas.microsoft.com/office/drawing/2014/main" id="{DFE398F2-BF26-4641-AA9C-CEC22407099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37</xdr:col>
      <xdr:colOff>580450</xdr:colOff>
      <xdr:row>158</xdr:row>
      <xdr:rowOff>184067</xdr:rowOff>
    </xdr:from>
    <xdr:to>
      <xdr:col>42</xdr:col>
      <xdr:colOff>172302</xdr:colOff>
      <xdr:row>167</xdr:row>
      <xdr:rowOff>166561</xdr:rowOff>
    </xdr:to>
    <xdr:graphicFrame macro="">
      <xdr:nvGraphicFramePr>
        <xdr:cNvPr id="25" name="Chart 24">
          <a:extLst>
            <a:ext uri="{FF2B5EF4-FFF2-40B4-BE49-F238E27FC236}">
              <a16:creationId xmlns:a16="http://schemas.microsoft.com/office/drawing/2014/main" id="{55C474CE-0DFD-4DC5-B2F8-D94F4775FBEB}"/>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29</xdr:col>
      <xdr:colOff>4700</xdr:colOff>
      <xdr:row>137</xdr:row>
      <xdr:rowOff>144129</xdr:rowOff>
    </xdr:from>
    <xdr:to>
      <xdr:col>33</xdr:col>
      <xdr:colOff>201596</xdr:colOff>
      <xdr:row>146</xdr:row>
      <xdr:rowOff>125197</xdr:rowOff>
    </xdr:to>
    <xdr:graphicFrame macro="">
      <xdr:nvGraphicFramePr>
        <xdr:cNvPr id="26" name="Chart 25">
          <a:extLst>
            <a:ext uri="{FF2B5EF4-FFF2-40B4-BE49-F238E27FC236}">
              <a16:creationId xmlns:a16="http://schemas.microsoft.com/office/drawing/2014/main" id="{E604D191-D66E-4DDE-8698-D080B88F76D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33</xdr:col>
      <xdr:colOff>287494</xdr:colOff>
      <xdr:row>137</xdr:row>
      <xdr:rowOff>144129</xdr:rowOff>
    </xdr:from>
    <xdr:to>
      <xdr:col>37</xdr:col>
      <xdr:colOff>484390</xdr:colOff>
      <xdr:row>146</xdr:row>
      <xdr:rowOff>124737</xdr:rowOff>
    </xdr:to>
    <xdr:graphicFrame macro="">
      <xdr:nvGraphicFramePr>
        <xdr:cNvPr id="27" name="Chart 26">
          <a:extLst>
            <a:ext uri="{FF2B5EF4-FFF2-40B4-BE49-F238E27FC236}">
              <a16:creationId xmlns:a16="http://schemas.microsoft.com/office/drawing/2014/main" id="{EF48B816-849C-483D-A1B8-D1E1BE6BFAB1}"/>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37</xdr:col>
      <xdr:colOff>580450</xdr:colOff>
      <xdr:row>137</xdr:row>
      <xdr:rowOff>144129</xdr:rowOff>
    </xdr:from>
    <xdr:to>
      <xdr:col>42</xdr:col>
      <xdr:colOff>172303</xdr:colOff>
      <xdr:row>146</xdr:row>
      <xdr:rowOff>126621</xdr:rowOff>
    </xdr:to>
    <xdr:graphicFrame macro="">
      <xdr:nvGraphicFramePr>
        <xdr:cNvPr id="28" name="Chart 27">
          <a:extLst>
            <a:ext uri="{FF2B5EF4-FFF2-40B4-BE49-F238E27FC236}">
              <a16:creationId xmlns:a16="http://schemas.microsoft.com/office/drawing/2014/main" id="{30D42E51-E280-47DD-AE56-7C480137BF4F}"/>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29</xdr:col>
      <xdr:colOff>4700</xdr:colOff>
      <xdr:row>148</xdr:row>
      <xdr:rowOff>71925</xdr:rowOff>
    </xdr:from>
    <xdr:to>
      <xdr:col>33</xdr:col>
      <xdr:colOff>201596</xdr:colOff>
      <xdr:row>157</xdr:row>
      <xdr:rowOff>54417</xdr:rowOff>
    </xdr:to>
    <xdr:graphicFrame macro="">
      <xdr:nvGraphicFramePr>
        <xdr:cNvPr id="29" name="Chart 28">
          <a:extLst>
            <a:ext uri="{FF2B5EF4-FFF2-40B4-BE49-F238E27FC236}">
              <a16:creationId xmlns:a16="http://schemas.microsoft.com/office/drawing/2014/main" id="{685BEC03-BFC7-4A01-958B-60BFB086EEF8}"/>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C3619BC7-BA28-4696-BC3B-3B465F0547D9}"/>
            </a:ext>
          </a:extLst>
        </xdr:cNvPr>
        <xdr:cNvSpPr/>
      </xdr:nvSpPr>
      <xdr:spPr>
        <a:xfrm>
          <a:off x="180975" y="142875"/>
          <a:ext cx="361950" cy="381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0</xdr:col>
      <xdr:colOff>528029</xdr:colOff>
      <xdr:row>5</xdr:row>
      <xdr:rowOff>705</xdr:rowOff>
    </xdr:from>
    <xdr:to>
      <xdr:col>3</xdr:col>
      <xdr:colOff>590462</xdr:colOff>
      <xdr:row>7</xdr:row>
      <xdr:rowOff>94713</xdr:rowOff>
    </xdr:to>
    <xdr:pic>
      <xdr:nvPicPr>
        <xdr:cNvPr id="9" name="Picture 8">
          <a:extLst>
            <a:ext uri="{FF2B5EF4-FFF2-40B4-BE49-F238E27FC236}">
              <a16:creationId xmlns:a16="http://schemas.microsoft.com/office/drawing/2014/main" id="{CA1EA36F-ADFB-4975-9875-44A0EDF5AF3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8029" y="1027072"/>
          <a:ext cx="2021862" cy="467232"/>
        </a:xfrm>
        <a:prstGeom prst="rect">
          <a:avLst/>
        </a:prstGeom>
      </xdr:spPr>
    </xdr:pic>
    <xdr:clientData/>
  </xdr:twoCellAnchor>
  <xdr:twoCellAnchor>
    <xdr:from>
      <xdr:col>19</xdr:col>
      <xdr:colOff>594454</xdr:colOff>
      <xdr:row>13</xdr:row>
      <xdr:rowOff>266612</xdr:rowOff>
    </xdr:from>
    <xdr:to>
      <xdr:col>26</xdr:col>
      <xdr:colOff>560294</xdr:colOff>
      <xdr:row>15</xdr:row>
      <xdr:rowOff>223316</xdr:rowOff>
    </xdr:to>
    <xdr:sp macro="[0]!kmeans" textlink="">
      <xdr:nvSpPr>
        <xdr:cNvPr id="10" name="Rectangle: Rounded Corners 9">
          <a:extLst>
            <a:ext uri="{FF2B5EF4-FFF2-40B4-BE49-F238E27FC236}">
              <a16:creationId xmlns:a16="http://schemas.microsoft.com/office/drawing/2014/main" id="{DA11502F-98EA-424A-B65B-4B6B102F7357}"/>
            </a:ext>
          </a:extLst>
        </xdr:cNvPr>
        <xdr:cNvSpPr/>
      </xdr:nvSpPr>
      <xdr:spPr>
        <a:xfrm>
          <a:off x="12176854" y="3066962"/>
          <a:ext cx="4233040" cy="490104"/>
        </a:xfrm>
        <a:prstGeom prst="roundRect">
          <a:avLst/>
        </a:prstGeom>
        <a:solidFill>
          <a:srgbClr val="217346"/>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a:t>Press this to assign/reassign subgroups</a:t>
          </a:r>
        </a:p>
      </xdr:txBody>
    </xdr:sp>
    <xdr:clientData/>
  </xdr:twoCellAnchor>
  <xdr:twoCellAnchor>
    <xdr:from>
      <xdr:col>7</xdr:col>
      <xdr:colOff>1156462</xdr:colOff>
      <xdr:row>7</xdr:row>
      <xdr:rowOff>2293</xdr:rowOff>
    </xdr:from>
    <xdr:to>
      <xdr:col>11</xdr:col>
      <xdr:colOff>1</xdr:colOff>
      <xdr:row>7</xdr:row>
      <xdr:rowOff>144953</xdr:rowOff>
    </xdr:to>
    <xdr:sp macro="" textlink="">
      <xdr:nvSpPr>
        <xdr:cNvPr id="3" name="Rectangle 2">
          <a:extLst>
            <a:ext uri="{FF2B5EF4-FFF2-40B4-BE49-F238E27FC236}">
              <a16:creationId xmlns:a16="http://schemas.microsoft.com/office/drawing/2014/main" id="{60D718AB-9C7D-1FF9-1B8D-3D29685077E1}"/>
            </a:ext>
          </a:extLst>
        </xdr:cNvPr>
        <xdr:cNvSpPr/>
      </xdr:nvSpPr>
      <xdr:spPr>
        <a:xfrm>
          <a:off x="5728462" y="1391654"/>
          <a:ext cx="4435358" cy="142660"/>
        </a:xfrm>
        <a:prstGeom prst="rect">
          <a:avLst/>
        </a:prstGeom>
        <a:solidFill>
          <a:srgbClr val="217346"/>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180975</xdr:colOff>
      <xdr:row>0</xdr:row>
      <xdr:rowOff>142875</xdr:rowOff>
    </xdr:from>
    <xdr:to>
      <xdr:col>0</xdr:col>
      <xdr:colOff>542925</xdr:colOff>
      <xdr:row>2</xdr:row>
      <xdr:rowOff>66675</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6FD60D11-96B7-449D-8004-3F711B4891D6}"/>
            </a:ext>
          </a:extLst>
        </xdr:cNvPr>
        <xdr:cNvSpPr/>
      </xdr:nvSpPr>
      <xdr:spPr>
        <a:xfrm>
          <a:off x="180975" y="142875"/>
          <a:ext cx="361950" cy="381000"/>
        </a:xfrm>
        <a:prstGeom prst="round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17346"/>
              </a:solidFill>
            </a:rPr>
            <a:t>?</a:t>
          </a:r>
          <a:endParaRPr lang="en-IN" sz="1400" b="1">
            <a:solidFill>
              <a:srgbClr val="217346"/>
            </a:solidFill>
          </a:endParaRPr>
        </a:p>
      </xdr:txBody>
    </xdr:sp>
    <xdr:clientData/>
  </xdr:twoCellAnchor>
  <xdr:twoCellAnchor editAs="oneCell">
    <xdr:from>
      <xdr:col>1</xdr:col>
      <xdr:colOff>29823</xdr:colOff>
      <xdr:row>16</xdr:row>
      <xdr:rowOff>142254</xdr:rowOff>
    </xdr:from>
    <xdr:to>
      <xdr:col>1</xdr:col>
      <xdr:colOff>292623</xdr:colOff>
      <xdr:row>17</xdr:row>
      <xdr:rowOff>178545</xdr:rowOff>
    </xdr:to>
    <xdr:pic>
      <xdr:nvPicPr>
        <xdr:cNvPr id="3" name="Picture 2">
          <a:extLst>
            <a:ext uri="{FF2B5EF4-FFF2-40B4-BE49-F238E27FC236}">
              <a16:creationId xmlns:a16="http://schemas.microsoft.com/office/drawing/2014/main" id="{6F927C1C-5107-4107-BED0-57EC070CF5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39423" y="3647454"/>
          <a:ext cx="262800" cy="293466"/>
        </a:xfrm>
        <a:prstGeom prst="rect">
          <a:avLst/>
        </a:prstGeom>
      </xdr:spPr>
    </xdr:pic>
    <xdr:clientData/>
  </xdr:twoCellAnchor>
  <xdr:twoCellAnchor editAs="oneCell">
    <xdr:from>
      <xdr:col>1</xdr:col>
      <xdr:colOff>7403</xdr:colOff>
      <xdr:row>11</xdr:row>
      <xdr:rowOff>7928</xdr:rowOff>
    </xdr:from>
    <xdr:to>
      <xdr:col>1</xdr:col>
      <xdr:colOff>295403</xdr:colOff>
      <xdr:row>12</xdr:row>
      <xdr:rowOff>30799</xdr:rowOff>
    </xdr:to>
    <xdr:pic>
      <xdr:nvPicPr>
        <xdr:cNvPr id="4" name="Picture 3">
          <a:extLst>
            <a:ext uri="{FF2B5EF4-FFF2-40B4-BE49-F238E27FC236}">
              <a16:creationId xmlns:a16="http://schemas.microsoft.com/office/drawing/2014/main" id="{475353E6-85F9-4D8B-8E3D-B9D22E19CF0B}"/>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17003" y="2189153"/>
          <a:ext cx="288000" cy="289571"/>
        </a:xfrm>
        <a:prstGeom prst="rect">
          <a:avLst/>
        </a:prstGeom>
      </xdr:spPr>
    </xdr:pic>
    <xdr:clientData/>
  </xdr:twoCellAnchor>
  <xdr:twoCellAnchor editAs="oneCell">
    <xdr:from>
      <xdr:col>1</xdr:col>
      <xdr:colOff>4928</xdr:colOff>
      <xdr:row>23</xdr:row>
      <xdr:rowOff>6252</xdr:rowOff>
    </xdr:from>
    <xdr:to>
      <xdr:col>1</xdr:col>
      <xdr:colOff>297878</xdr:colOff>
      <xdr:row>24</xdr:row>
      <xdr:rowOff>42543</xdr:rowOff>
    </xdr:to>
    <xdr:pic>
      <xdr:nvPicPr>
        <xdr:cNvPr id="5" name="Picture 4">
          <a:extLst>
            <a:ext uri="{FF2B5EF4-FFF2-40B4-BE49-F238E27FC236}">
              <a16:creationId xmlns:a16="http://schemas.microsoft.com/office/drawing/2014/main" id="{0E04EAF7-A1AE-4BE0-8AF4-0270BF6AFF99}"/>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14528" y="5311677"/>
          <a:ext cx="292950" cy="293466"/>
        </a:xfrm>
        <a:prstGeom prst="rect">
          <a:avLst/>
        </a:prstGeom>
      </xdr:spPr>
    </xdr:pic>
    <xdr:clientData/>
  </xdr:twoCellAnchor>
  <xdr:twoCellAnchor editAs="oneCell">
    <xdr:from>
      <xdr:col>1</xdr:col>
      <xdr:colOff>5603</xdr:colOff>
      <xdr:row>20</xdr:row>
      <xdr:rowOff>0</xdr:rowOff>
    </xdr:from>
    <xdr:to>
      <xdr:col>1</xdr:col>
      <xdr:colOff>297203</xdr:colOff>
      <xdr:row>20</xdr:row>
      <xdr:rowOff>249932</xdr:rowOff>
    </xdr:to>
    <xdr:pic>
      <xdr:nvPicPr>
        <xdr:cNvPr id="6" name="Picture 5">
          <a:extLst>
            <a:ext uri="{FF2B5EF4-FFF2-40B4-BE49-F238E27FC236}">
              <a16:creationId xmlns:a16="http://schemas.microsoft.com/office/drawing/2014/main" id="{90A7E88B-F116-423E-805B-19F0EACC53EA}"/>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615203" y="4533900"/>
          <a:ext cx="291600" cy="249932"/>
        </a:xfrm>
        <a:prstGeom prst="rect">
          <a:avLst/>
        </a:prstGeom>
      </xdr:spPr>
    </xdr:pic>
    <xdr:clientData/>
  </xdr:twoCellAnchor>
  <xdr:twoCellAnchor editAs="oneCell">
    <xdr:from>
      <xdr:col>1</xdr:col>
      <xdr:colOff>21803</xdr:colOff>
      <xdr:row>13</xdr:row>
      <xdr:rowOff>212341</xdr:rowOff>
    </xdr:from>
    <xdr:to>
      <xdr:col>1</xdr:col>
      <xdr:colOff>281003</xdr:colOff>
      <xdr:row>14</xdr:row>
      <xdr:rowOff>238812</xdr:rowOff>
    </xdr:to>
    <xdr:pic>
      <xdr:nvPicPr>
        <xdr:cNvPr id="7" name="Picture 6">
          <a:extLst>
            <a:ext uri="{FF2B5EF4-FFF2-40B4-BE49-F238E27FC236}">
              <a16:creationId xmlns:a16="http://schemas.microsoft.com/office/drawing/2014/main" id="{C1ECEDFD-6713-4551-AC0B-1DE816B7AB28}"/>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631403" y="2926966"/>
          <a:ext cx="259200" cy="293171"/>
        </a:xfrm>
        <a:prstGeom prst="rect">
          <a:avLst/>
        </a:prstGeom>
      </xdr:spPr>
    </xdr:pic>
    <xdr:clientData/>
  </xdr:twoCellAnchor>
  <xdr:twoCellAnchor editAs="oneCell">
    <xdr:from>
      <xdr:col>1</xdr:col>
      <xdr:colOff>5603</xdr:colOff>
      <xdr:row>26</xdr:row>
      <xdr:rowOff>2561</xdr:rowOff>
    </xdr:from>
    <xdr:to>
      <xdr:col>1</xdr:col>
      <xdr:colOff>297203</xdr:colOff>
      <xdr:row>27</xdr:row>
      <xdr:rowOff>38852</xdr:rowOff>
    </xdr:to>
    <xdr:pic>
      <xdr:nvPicPr>
        <xdr:cNvPr id="8" name="Picture 7">
          <a:extLst>
            <a:ext uri="{FF2B5EF4-FFF2-40B4-BE49-F238E27FC236}">
              <a16:creationId xmlns:a16="http://schemas.microsoft.com/office/drawing/2014/main" id="{4BDF0657-9196-4623-B8DC-E18A3D55230D}"/>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15203" y="6079511"/>
          <a:ext cx="291600" cy="293466"/>
        </a:xfrm>
        <a:prstGeom prst="rect">
          <a:avLst/>
        </a:prstGeom>
      </xdr:spPr>
    </xdr:pic>
    <xdr:clientData/>
  </xdr:twoCellAnchor>
  <xdr:twoCellAnchor editAs="oneCell">
    <xdr:from>
      <xdr:col>1</xdr:col>
      <xdr:colOff>0</xdr:colOff>
      <xdr:row>5</xdr:row>
      <xdr:rowOff>0</xdr:rowOff>
    </xdr:from>
    <xdr:to>
      <xdr:col>4</xdr:col>
      <xdr:colOff>66675</xdr:colOff>
      <xdr:row>7</xdr:row>
      <xdr:rowOff>102490</xdr:rowOff>
    </xdr:to>
    <xdr:pic>
      <xdr:nvPicPr>
        <xdr:cNvPr id="9" name="Picture 8">
          <a:extLst>
            <a:ext uri="{FF2B5EF4-FFF2-40B4-BE49-F238E27FC236}">
              <a16:creationId xmlns:a16="http://schemas.microsoft.com/office/drawing/2014/main" id="{7D1B3891-DA14-4381-BCB1-E4F458D8D204}"/>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9600" y="1038225"/>
          <a:ext cx="1895475" cy="48349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nkit%20Basak\AppData\Roaming\Microsoft\Excel\Harmony%20(version%201).xlsb" TargetMode="External"/><Relationship Id="rId1" Type="http://schemas.openxmlformats.org/officeDocument/2006/relationships/externalLinkPath" Target="/Users/Ankit%20Basak/AppData/Roaming/Microsoft/Excel/Harmony%20(version%201).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me"/>
      <sheetName val="Data recording"/>
      <sheetName val="Composite scale"/>
      <sheetName val="Visulization"/>
      <sheetName val="Import"/>
      <sheetName val="Subgroups"/>
      <sheetName val="Sheet2"/>
      <sheetName val="Help"/>
      <sheetName val="Descriptive stats"/>
      <sheetName val="Harmony (version 1)"/>
    </sheetNames>
    <definedNames>
      <definedName name="t_data"/>
    </definedNames>
    <sheetDataSet>
      <sheetData sheetId="0"/>
      <sheetData sheetId="1"/>
      <sheetData sheetId="2"/>
      <sheetData sheetId="3"/>
      <sheetData sheetId="4">
        <row r="68">
          <cell r="AE68">
            <v>1</v>
          </cell>
          <cell r="AG68">
            <v>3</v>
          </cell>
          <cell r="AH68">
            <v>4</v>
          </cell>
          <cell r="AI68">
            <v>5</v>
          </cell>
          <cell r="AJ68">
            <v>6</v>
          </cell>
          <cell r="AK68">
            <v>7</v>
          </cell>
          <cell r="AL68">
            <v>8</v>
          </cell>
          <cell r="AM68">
            <v>9</v>
          </cell>
          <cell r="AN68">
            <v>10</v>
          </cell>
        </row>
        <row r="74">
          <cell r="AR74">
            <v>2</v>
          </cell>
          <cell r="AS74">
            <v>2</v>
          </cell>
        </row>
        <row r="75">
          <cell r="AR75">
            <v>5</v>
          </cell>
          <cell r="AS75">
            <v>5</v>
          </cell>
        </row>
        <row r="76">
          <cell r="AR76">
            <v>2</v>
          </cell>
          <cell r="AS76">
            <v>3</v>
          </cell>
        </row>
        <row r="77">
          <cell r="AR77">
            <v>4</v>
          </cell>
          <cell r="AS77">
            <v>4</v>
          </cell>
        </row>
        <row r="78">
          <cell r="AR78">
            <v>1</v>
          </cell>
          <cell r="AS78">
            <v>1</v>
          </cell>
        </row>
        <row r="79">
          <cell r="AR79">
            <v>6</v>
          </cell>
          <cell r="AS79">
            <v>6</v>
          </cell>
        </row>
        <row r="80">
          <cell r="AR80">
            <v>7</v>
          </cell>
          <cell r="AS80">
            <v>7</v>
          </cell>
        </row>
        <row r="81">
          <cell r="AR81">
            <v>8</v>
          </cell>
          <cell r="AS81">
            <v>8</v>
          </cell>
        </row>
        <row r="82">
          <cell r="AR82">
            <v>9</v>
          </cell>
          <cell r="AS82">
            <v>9</v>
          </cell>
        </row>
        <row r="83">
          <cell r="AR83">
            <v>10</v>
          </cell>
          <cell r="AS83">
            <v>10</v>
          </cell>
        </row>
        <row r="92">
          <cell r="AD92" t="str">
            <v>Image 1</v>
          </cell>
          <cell r="AE92">
            <v>8</v>
          </cell>
          <cell r="AF92">
            <v>2</v>
          </cell>
          <cell r="AG92">
            <v>1</v>
          </cell>
          <cell r="AH92">
            <v>1</v>
          </cell>
          <cell r="AI92">
            <v>1</v>
          </cell>
          <cell r="AJ92">
            <v>1</v>
          </cell>
          <cell r="AK92">
            <v>2</v>
          </cell>
          <cell r="AL92">
            <v>1</v>
          </cell>
          <cell r="AM92">
            <v>4</v>
          </cell>
          <cell r="AN92">
            <v>3</v>
          </cell>
        </row>
        <row r="93">
          <cell r="AD93" t="str">
            <v>Image 2</v>
          </cell>
          <cell r="AE93">
            <v>1</v>
          </cell>
          <cell r="AF93">
            <v>7</v>
          </cell>
          <cell r="AG93">
            <v>2</v>
          </cell>
          <cell r="AH93">
            <v>1</v>
          </cell>
          <cell r="AI93">
            <v>1</v>
          </cell>
          <cell r="AJ93">
            <v>2</v>
          </cell>
          <cell r="AK93">
            <v>1</v>
          </cell>
          <cell r="AL93">
            <v>5</v>
          </cell>
          <cell r="AM93">
            <v>2</v>
          </cell>
          <cell r="AN93">
            <v>2</v>
          </cell>
        </row>
        <row r="94">
          <cell r="AD94" t="str">
            <v>Image 3</v>
          </cell>
          <cell r="AE94">
            <v>1</v>
          </cell>
          <cell r="AF94">
            <v>2</v>
          </cell>
          <cell r="AG94">
            <v>7</v>
          </cell>
          <cell r="AH94">
            <v>2</v>
          </cell>
          <cell r="AI94">
            <v>3</v>
          </cell>
          <cell r="AJ94">
            <v>1</v>
          </cell>
          <cell r="AK94">
            <v>4</v>
          </cell>
          <cell r="AL94">
            <v>2</v>
          </cell>
          <cell r="AM94">
            <v>1</v>
          </cell>
          <cell r="AN94">
            <v>1</v>
          </cell>
        </row>
        <row r="95">
          <cell r="AD95" t="str">
            <v>Image 4</v>
          </cell>
          <cell r="AE95">
            <v>1</v>
          </cell>
          <cell r="AF95">
            <v>1</v>
          </cell>
          <cell r="AG95">
            <v>1</v>
          </cell>
          <cell r="AH95">
            <v>9</v>
          </cell>
          <cell r="AI95">
            <v>3</v>
          </cell>
          <cell r="AJ95">
            <v>3</v>
          </cell>
          <cell r="AK95">
            <v>2</v>
          </cell>
          <cell r="AL95">
            <v>2</v>
          </cell>
          <cell r="AM95">
            <v>1</v>
          </cell>
          <cell r="AN95">
            <v>1</v>
          </cell>
        </row>
        <row r="96">
          <cell r="AD96" t="str">
            <v>Image 5</v>
          </cell>
          <cell r="AE96">
            <v>3</v>
          </cell>
          <cell r="AF96">
            <v>2</v>
          </cell>
          <cell r="AG96">
            <v>2</v>
          </cell>
          <cell r="AH96">
            <v>3</v>
          </cell>
          <cell r="AI96">
            <v>6</v>
          </cell>
          <cell r="AJ96">
            <v>4</v>
          </cell>
          <cell r="AK96">
            <v>1</v>
          </cell>
          <cell r="AL96">
            <v>1</v>
          </cell>
          <cell r="AM96">
            <v>1</v>
          </cell>
          <cell r="AN96">
            <v>1</v>
          </cell>
        </row>
        <row r="97">
          <cell r="AD97" t="str">
            <v>Image 6</v>
          </cell>
          <cell r="AE97">
            <v>1</v>
          </cell>
          <cell r="AF97">
            <v>2</v>
          </cell>
          <cell r="AG97">
            <v>1</v>
          </cell>
          <cell r="AH97">
            <v>1</v>
          </cell>
          <cell r="AI97">
            <v>6</v>
          </cell>
          <cell r="AJ97">
            <v>7</v>
          </cell>
          <cell r="AK97">
            <v>2</v>
          </cell>
          <cell r="AL97">
            <v>2</v>
          </cell>
          <cell r="AM97">
            <v>1</v>
          </cell>
          <cell r="AN97">
            <v>1</v>
          </cell>
        </row>
        <row r="98">
          <cell r="AD98" t="str">
            <v>Image 7</v>
          </cell>
          <cell r="AE98">
            <v>1</v>
          </cell>
          <cell r="AF98">
            <v>3</v>
          </cell>
          <cell r="AG98">
            <v>2</v>
          </cell>
          <cell r="AH98">
            <v>4</v>
          </cell>
          <cell r="AI98">
            <v>1</v>
          </cell>
          <cell r="AJ98">
            <v>2</v>
          </cell>
          <cell r="AK98">
            <v>4</v>
          </cell>
          <cell r="AL98">
            <v>3</v>
          </cell>
          <cell r="AM98">
            <v>2</v>
          </cell>
          <cell r="AN98">
            <v>2</v>
          </cell>
        </row>
        <row r="99">
          <cell r="AD99" t="str">
            <v>Image 8</v>
          </cell>
          <cell r="AE99">
            <v>1</v>
          </cell>
          <cell r="AF99">
            <v>2</v>
          </cell>
          <cell r="AG99">
            <v>6</v>
          </cell>
          <cell r="AH99">
            <v>1</v>
          </cell>
          <cell r="AI99">
            <v>1</v>
          </cell>
          <cell r="AJ99">
            <v>1</v>
          </cell>
          <cell r="AK99">
            <v>1</v>
          </cell>
          <cell r="AL99">
            <v>6</v>
          </cell>
          <cell r="AM99">
            <v>4</v>
          </cell>
          <cell r="AN99">
            <v>1</v>
          </cell>
        </row>
        <row r="100">
          <cell r="AD100" t="str">
            <v>Image 9</v>
          </cell>
          <cell r="AE100">
            <v>3</v>
          </cell>
          <cell r="AF100">
            <v>2</v>
          </cell>
          <cell r="AG100">
            <v>1</v>
          </cell>
          <cell r="AH100">
            <v>1</v>
          </cell>
          <cell r="AI100">
            <v>1</v>
          </cell>
          <cell r="AJ100">
            <v>1</v>
          </cell>
          <cell r="AK100">
            <v>6</v>
          </cell>
          <cell r="AL100">
            <v>1</v>
          </cell>
          <cell r="AM100">
            <v>5</v>
          </cell>
          <cell r="AN100">
            <v>3</v>
          </cell>
        </row>
        <row r="101">
          <cell r="AD101" t="str">
            <v>Image 10</v>
          </cell>
          <cell r="AE101">
            <v>4</v>
          </cell>
          <cell r="AF101">
            <v>1</v>
          </cell>
          <cell r="AG101">
            <v>1</v>
          </cell>
          <cell r="AH101">
            <v>1</v>
          </cell>
          <cell r="AI101">
            <v>1</v>
          </cell>
          <cell r="AJ101">
            <v>2</v>
          </cell>
          <cell r="AK101">
            <v>1</v>
          </cell>
          <cell r="AL101">
            <v>1</v>
          </cell>
          <cell r="AM101">
            <v>3</v>
          </cell>
          <cell r="AN101">
            <v>9</v>
          </cell>
        </row>
      </sheetData>
      <sheetData sheetId="5"/>
      <sheetData sheetId="6"/>
      <sheetData sheetId="7"/>
      <sheetData sheetId="8">
        <row r="3">
          <cell r="N3" t="str">
            <v>Image 1</v>
          </cell>
          <cell r="O3" t="str">
            <v>Image 2</v>
          </cell>
          <cell r="P3" t="str">
            <v>Image 3</v>
          </cell>
          <cell r="Q3" t="str">
            <v>Image 4</v>
          </cell>
          <cell r="R3" t="str">
            <v>Image 5</v>
          </cell>
          <cell r="S3" t="str">
            <v>Image 6</v>
          </cell>
          <cell r="T3" t="str">
            <v>Image 7</v>
          </cell>
          <cell r="U3" t="str">
            <v>Image 8</v>
          </cell>
          <cell r="V3" t="str">
            <v>Image 9</v>
          </cell>
          <cell r="W3" t="str">
            <v>Image 10</v>
          </cell>
        </row>
        <row r="4">
          <cell r="M4" t="str">
            <v>Min</v>
          </cell>
          <cell r="N4">
            <v>1</v>
          </cell>
          <cell r="O4">
            <v>1</v>
          </cell>
          <cell r="P4">
            <v>1</v>
          </cell>
          <cell r="Q4">
            <v>1</v>
          </cell>
          <cell r="R4">
            <v>1</v>
          </cell>
          <cell r="S4">
            <v>3</v>
          </cell>
          <cell r="T4">
            <v>1</v>
          </cell>
          <cell r="U4">
            <v>1</v>
          </cell>
          <cell r="V4">
            <v>1</v>
          </cell>
          <cell r="W4">
            <v>1</v>
          </cell>
        </row>
        <row r="5">
          <cell r="M5" t="str">
            <v>Q1-Min</v>
          </cell>
          <cell r="N5">
            <v>0</v>
          </cell>
          <cell r="O5">
            <v>1</v>
          </cell>
          <cell r="P5">
            <v>2</v>
          </cell>
          <cell r="Q5">
            <v>3</v>
          </cell>
          <cell r="R5">
            <v>2</v>
          </cell>
          <cell r="S5">
            <v>2</v>
          </cell>
          <cell r="T5">
            <v>2.75</v>
          </cell>
          <cell r="U5">
            <v>2</v>
          </cell>
          <cell r="V5">
            <v>2.75</v>
          </cell>
          <cell r="W5">
            <v>2.75</v>
          </cell>
        </row>
        <row r="6">
          <cell r="M6" t="str">
            <v>Med-Q1</v>
          </cell>
          <cell r="N6">
            <v>3.5</v>
          </cell>
          <cell r="O6">
            <v>3.5</v>
          </cell>
          <cell r="P6">
            <v>1.5</v>
          </cell>
          <cell r="Q6">
            <v>0.5</v>
          </cell>
          <cell r="R6">
            <v>2</v>
          </cell>
          <cell r="S6">
            <v>1</v>
          </cell>
          <cell r="T6">
            <v>2.25</v>
          </cell>
          <cell r="U6">
            <v>3.5</v>
          </cell>
          <cell r="V6">
            <v>3.25</v>
          </cell>
          <cell r="W6">
            <v>4.75</v>
          </cell>
        </row>
        <row r="7">
          <cell r="M7" t="str">
            <v>Q3-Med</v>
          </cell>
          <cell r="N7">
            <v>4.5</v>
          </cell>
          <cell r="O7">
            <v>2.5</v>
          </cell>
          <cell r="P7">
            <v>2.5</v>
          </cell>
          <cell r="Q7">
            <v>1.75</v>
          </cell>
          <cell r="R7">
            <v>1</v>
          </cell>
          <cell r="S7">
            <v>0.25</v>
          </cell>
          <cell r="T7">
            <v>2</v>
          </cell>
          <cell r="U7">
            <v>1.5</v>
          </cell>
          <cell r="V7">
            <v>2</v>
          </cell>
          <cell r="W7">
            <v>1.5</v>
          </cell>
        </row>
        <row r="8">
          <cell r="N8">
            <v>1</v>
          </cell>
          <cell r="O8">
            <v>2</v>
          </cell>
          <cell r="P8">
            <v>3</v>
          </cell>
          <cell r="Q8">
            <v>3.75</v>
          </cell>
          <cell r="R8">
            <v>4</v>
          </cell>
          <cell r="S8">
            <v>2.75</v>
          </cell>
          <cell r="T8">
            <v>2</v>
          </cell>
          <cell r="U8">
            <v>2</v>
          </cell>
          <cell r="V8">
            <v>1</v>
          </cell>
          <cell r="W8">
            <v>0</v>
          </cell>
        </row>
        <row r="9">
          <cell r="N9">
            <v>4.916666666666667</v>
          </cell>
          <cell r="O9">
            <v>5.291666666666667</v>
          </cell>
          <cell r="P9">
            <v>4.916666666666667</v>
          </cell>
          <cell r="Q9">
            <v>5.166666666666667</v>
          </cell>
          <cell r="R9">
            <v>4.708333333333333</v>
          </cell>
          <cell r="S9">
            <v>5.541666666666667</v>
          </cell>
          <cell r="T9">
            <v>5.666666666666667</v>
          </cell>
          <cell r="U9">
            <v>5.791666666666667</v>
          </cell>
          <cell r="V9">
            <v>6.25</v>
          </cell>
          <cell r="W9">
            <v>6.75</v>
          </cell>
        </row>
        <row r="20">
          <cell r="S20">
            <v>2</v>
          </cell>
        </row>
        <row r="21">
          <cell r="S21">
            <v>2</v>
          </cell>
        </row>
        <row r="22">
          <cell r="S22">
            <v>1</v>
          </cell>
        </row>
        <row r="23">
          <cell r="S23">
            <v>10</v>
          </cell>
        </row>
      </sheetData>
      <sheetData sheetId="9" refreshError="1"/>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C7F2C-A6AB-46A3-B851-0746998D8548}">
  <sheetPr codeName="Sheet4"/>
  <dimension ref="A1:CD170"/>
  <sheetViews>
    <sheetView zoomScaleNormal="100" workbookViewId="0">
      <selection activeCell="C27" sqref="C27:E27"/>
    </sheetView>
  </sheetViews>
  <sheetFormatPr defaultRowHeight="14.6"/>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30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c r="A4" s="19"/>
      <c r="B4" s="21"/>
      <c r="C4" s="21"/>
      <c r="D4" s="21"/>
      <c r="E4" s="21"/>
      <c r="F4" s="24"/>
      <c r="G4" s="25"/>
      <c r="H4" s="115" t="s">
        <v>15</v>
      </c>
      <c r="I4" s="115"/>
      <c r="J4" s="115"/>
      <c r="K4" s="115"/>
      <c r="L4" s="25"/>
      <c r="M4" s="25"/>
      <c r="N4" s="25"/>
      <c r="O4" s="25"/>
      <c r="P4" s="25"/>
      <c r="Q4" s="25"/>
      <c r="R4" s="25"/>
      <c r="S4" s="25"/>
      <c r="T4" s="25"/>
      <c r="U4" s="24"/>
      <c r="V4" s="25"/>
      <c r="W4" s="115" t="s">
        <v>16</v>
      </c>
      <c r="X4" s="115"/>
      <c r="Y4" s="115"/>
      <c r="Z4" s="25"/>
      <c r="AA4" s="25"/>
      <c r="AB4" s="25"/>
      <c r="AC4" s="25"/>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c r="A5" s="19"/>
      <c r="B5" s="21"/>
      <c r="C5" s="21"/>
      <c r="D5" s="21"/>
      <c r="E5" s="21"/>
      <c r="F5" s="24"/>
      <c r="G5" s="25"/>
      <c r="H5" s="115"/>
      <c r="I5" s="115"/>
      <c r="J5" s="115"/>
      <c r="K5" s="115"/>
      <c r="L5" s="25"/>
      <c r="M5" s="25"/>
      <c r="N5" s="25"/>
      <c r="O5" s="25"/>
      <c r="P5" s="25"/>
      <c r="Q5" s="25"/>
      <c r="R5" s="25"/>
      <c r="S5" s="25"/>
      <c r="T5" s="25"/>
      <c r="U5" s="24"/>
      <c r="V5" s="25"/>
      <c r="W5" s="115"/>
      <c r="X5" s="115"/>
      <c r="Y5" s="115"/>
      <c r="Z5" s="25"/>
      <c r="AA5" s="25"/>
      <c r="AB5" s="25"/>
      <c r="AC5" s="25"/>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c r="A6" s="19"/>
      <c r="B6" s="21"/>
      <c r="C6" s="21"/>
      <c r="D6" s="21"/>
      <c r="E6" s="21"/>
      <c r="F6" s="24"/>
      <c r="G6" s="25"/>
      <c r="H6" s="25"/>
      <c r="I6" s="25"/>
      <c r="J6" s="25"/>
      <c r="K6" s="25"/>
      <c r="L6" s="25"/>
      <c r="M6" s="25"/>
      <c r="N6" s="25"/>
      <c r="O6" s="25"/>
      <c r="P6" s="25"/>
      <c r="Q6" s="25"/>
      <c r="R6" s="25"/>
      <c r="S6" s="25"/>
      <c r="T6" s="25"/>
      <c r="U6" s="24"/>
      <c r="V6" s="25"/>
      <c r="W6" s="25"/>
      <c r="X6" s="25"/>
      <c r="Y6" s="25"/>
      <c r="Z6" s="25"/>
      <c r="AA6" s="25"/>
      <c r="AB6" s="25"/>
      <c r="AC6" s="25"/>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c r="A7" s="21"/>
      <c r="B7" s="21"/>
      <c r="C7" s="21"/>
      <c r="D7" s="21"/>
      <c r="E7" s="21"/>
      <c r="F7" s="24"/>
      <c r="G7" s="25"/>
      <c r="H7" s="116" t="s">
        <v>17</v>
      </c>
      <c r="I7" s="116"/>
      <c r="J7" s="116"/>
      <c r="K7" s="116"/>
      <c r="L7" s="116"/>
      <c r="M7" s="116"/>
      <c r="N7" s="116"/>
      <c r="O7" s="116"/>
      <c r="P7" s="116"/>
      <c r="Q7" s="116"/>
      <c r="R7" s="116"/>
      <c r="S7" s="116"/>
      <c r="T7" s="25"/>
      <c r="U7" s="24"/>
      <c r="V7" s="25"/>
      <c r="W7" s="25"/>
      <c r="X7" s="25"/>
      <c r="Y7" s="25"/>
      <c r="Z7" s="25"/>
      <c r="AA7" s="25"/>
      <c r="AB7" s="25"/>
      <c r="AC7" s="25"/>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c r="A8" s="21"/>
      <c r="B8" s="21"/>
      <c r="C8" s="21"/>
      <c r="D8" s="21"/>
      <c r="E8" s="21"/>
      <c r="F8" s="24"/>
      <c r="G8" s="25"/>
      <c r="H8" s="116"/>
      <c r="I8" s="116"/>
      <c r="J8" s="116"/>
      <c r="K8" s="116"/>
      <c r="L8" s="116"/>
      <c r="M8" s="116"/>
      <c r="N8" s="116"/>
      <c r="O8" s="116"/>
      <c r="P8" s="116"/>
      <c r="Q8" s="116"/>
      <c r="R8" s="116"/>
      <c r="S8" s="116"/>
      <c r="T8" s="25"/>
      <c r="U8" s="24"/>
      <c r="V8" s="25"/>
      <c r="W8" s="25"/>
      <c r="X8" s="25"/>
      <c r="Y8" s="25"/>
      <c r="Z8" s="25"/>
      <c r="AA8" s="25"/>
      <c r="AB8" s="25"/>
      <c r="AC8" s="25"/>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c r="A9" s="21"/>
      <c r="B9" s="21"/>
      <c r="C9" s="21"/>
      <c r="D9" s="21"/>
      <c r="E9" s="21"/>
      <c r="F9" s="24"/>
      <c r="G9" s="25"/>
      <c r="H9" s="116"/>
      <c r="I9" s="116"/>
      <c r="J9" s="116"/>
      <c r="K9" s="116"/>
      <c r="L9" s="116"/>
      <c r="M9" s="116"/>
      <c r="N9" s="116"/>
      <c r="O9" s="116"/>
      <c r="P9" s="116"/>
      <c r="Q9" s="116"/>
      <c r="R9" s="116"/>
      <c r="S9" s="116"/>
      <c r="T9" s="25"/>
      <c r="U9" s="24"/>
      <c r="V9" s="25"/>
      <c r="W9" s="116" t="s">
        <v>18</v>
      </c>
      <c r="X9" s="116"/>
      <c r="Y9" s="116"/>
      <c r="Z9" s="116"/>
      <c r="AA9" s="116"/>
      <c r="AB9" s="116"/>
      <c r="AC9" s="25"/>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c r="A10" s="21"/>
      <c r="B10" s="21"/>
      <c r="C10" s="21"/>
      <c r="D10" s="21"/>
      <c r="E10" s="21"/>
      <c r="F10" s="24"/>
      <c r="G10" s="25"/>
      <c r="H10" s="116"/>
      <c r="I10" s="116"/>
      <c r="J10" s="116"/>
      <c r="K10" s="116"/>
      <c r="L10" s="116"/>
      <c r="M10" s="116"/>
      <c r="N10" s="116"/>
      <c r="O10" s="116"/>
      <c r="P10" s="116"/>
      <c r="Q10" s="116"/>
      <c r="R10" s="116"/>
      <c r="S10" s="116"/>
      <c r="T10" s="25"/>
      <c r="U10" s="24"/>
      <c r="V10" s="25"/>
      <c r="W10" s="116"/>
      <c r="X10" s="116"/>
      <c r="Y10" s="116"/>
      <c r="Z10" s="116"/>
      <c r="AA10" s="116"/>
      <c r="AB10" s="116"/>
      <c r="AC10" s="25"/>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c r="A11" s="26"/>
      <c r="B11" s="27"/>
      <c r="C11" s="27"/>
      <c r="D11" s="27"/>
      <c r="E11" s="28"/>
      <c r="F11" s="24"/>
      <c r="G11" s="25"/>
      <c r="H11" s="116"/>
      <c r="I11" s="116"/>
      <c r="J11" s="116"/>
      <c r="K11" s="116"/>
      <c r="L11" s="116"/>
      <c r="M11" s="116"/>
      <c r="N11" s="116"/>
      <c r="O11" s="116"/>
      <c r="P11" s="116"/>
      <c r="Q11" s="116"/>
      <c r="R11" s="116"/>
      <c r="S11" s="116"/>
      <c r="T11" s="25"/>
      <c r="U11" s="24"/>
      <c r="V11" s="25"/>
      <c r="W11" s="116"/>
      <c r="X11" s="116"/>
      <c r="Y11" s="116"/>
      <c r="Z11" s="116"/>
      <c r="AA11" s="116"/>
      <c r="AB11" s="116"/>
      <c r="AC11" s="25"/>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0.6">
      <c r="A12" s="29"/>
      <c r="B12" s="30"/>
      <c r="C12" s="119" t="s">
        <v>19</v>
      </c>
      <c r="D12" s="119"/>
      <c r="E12" s="120"/>
      <c r="F12" s="24"/>
      <c r="G12" s="25"/>
      <c r="H12" s="116"/>
      <c r="I12" s="116"/>
      <c r="J12" s="116"/>
      <c r="K12" s="116"/>
      <c r="L12" s="116"/>
      <c r="M12" s="116"/>
      <c r="N12" s="116"/>
      <c r="O12" s="116"/>
      <c r="P12" s="116"/>
      <c r="Q12" s="116"/>
      <c r="R12" s="116"/>
      <c r="S12" s="116"/>
      <c r="T12" s="25"/>
      <c r="U12" s="24"/>
      <c r="V12" s="25"/>
      <c r="W12" s="116"/>
      <c r="X12" s="116"/>
      <c r="Y12" s="116"/>
      <c r="Z12" s="116"/>
      <c r="AA12" s="116"/>
      <c r="AB12" s="116"/>
      <c r="AC12" s="25"/>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0.6">
      <c r="A13" s="31"/>
      <c r="B13" s="32"/>
      <c r="C13" s="33"/>
      <c r="D13" s="32"/>
      <c r="E13" s="34"/>
      <c r="F13" s="24"/>
      <c r="G13" s="25"/>
      <c r="H13" s="121" t="s">
        <v>20</v>
      </c>
      <c r="I13" s="121"/>
      <c r="J13" s="121"/>
      <c r="K13" s="121"/>
      <c r="L13" s="35"/>
      <c r="M13" s="35"/>
      <c r="N13" s="35"/>
      <c r="O13" s="35"/>
      <c r="P13" s="35"/>
      <c r="Q13" s="35"/>
      <c r="R13" s="35"/>
      <c r="S13" s="35"/>
      <c r="T13" s="25"/>
      <c r="U13" s="24"/>
      <c r="V13" s="25"/>
      <c r="W13" s="116"/>
      <c r="X13" s="116"/>
      <c r="Y13" s="116"/>
      <c r="Z13" s="116"/>
      <c r="AA13" s="116"/>
      <c r="AB13" s="116"/>
      <c r="AC13" s="25"/>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36"/>
      <c r="D14" s="21"/>
      <c r="E14" s="21"/>
      <c r="F14" s="24"/>
      <c r="G14" s="25"/>
      <c r="H14" s="121"/>
      <c r="I14" s="121"/>
      <c r="J14" s="121"/>
      <c r="K14" s="121"/>
      <c r="L14" s="35"/>
      <c r="M14" s="35"/>
      <c r="N14" s="35"/>
      <c r="O14" s="35"/>
      <c r="P14" s="35"/>
      <c r="Q14" s="35"/>
      <c r="R14" s="35"/>
      <c r="S14" s="35"/>
      <c r="T14" s="25"/>
      <c r="U14" s="24"/>
      <c r="V14" s="25"/>
      <c r="W14" s="116"/>
      <c r="X14" s="116"/>
      <c r="Y14" s="116"/>
      <c r="Z14" s="116"/>
      <c r="AA14" s="116"/>
      <c r="AB14" s="116"/>
      <c r="AC14" s="25"/>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22" t="s">
        <v>21</v>
      </c>
      <c r="D15" s="122"/>
      <c r="E15" s="122"/>
      <c r="F15" s="24"/>
      <c r="G15" s="25"/>
      <c r="H15" s="25"/>
      <c r="I15" s="25"/>
      <c r="J15" s="25"/>
      <c r="K15" s="25"/>
      <c r="L15" s="35"/>
      <c r="M15" s="35"/>
      <c r="N15" s="25"/>
      <c r="O15" s="25"/>
      <c r="P15" s="113" t="s">
        <v>22</v>
      </c>
      <c r="Q15" s="113"/>
      <c r="R15" s="113"/>
      <c r="S15" s="113"/>
      <c r="T15" s="25"/>
      <c r="U15" s="24"/>
      <c r="V15" s="25"/>
      <c r="W15" s="116"/>
      <c r="X15" s="116"/>
      <c r="Y15" s="116"/>
      <c r="Z15" s="116"/>
      <c r="AA15" s="116"/>
      <c r="AB15" s="116"/>
      <c r="AC15" s="25"/>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44"/>
      <c r="D16" s="44"/>
      <c r="E16" s="44"/>
      <c r="F16" s="24"/>
      <c r="G16" s="25"/>
      <c r="H16" s="25"/>
      <c r="I16" s="25"/>
      <c r="J16" s="25"/>
      <c r="K16" s="25"/>
      <c r="L16" s="35"/>
      <c r="M16" s="35"/>
      <c r="N16" s="25"/>
      <c r="O16" s="25"/>
      <c r="P16" s="113"/>
      <c r="Q16" s="113"/>
      <c r="R16" s="113"/>
      <c r="S16" s="113"/>
      <c r="T16" s="25"/>
      <c r="U16" s="24"/>
      <c r="V16" s="25"/>
      <c r="W16" s="116"/>
      <c r="X16" s="116"/>
      <c r="Y16" s="116"/>
      <c r="Z16" s="116"/>
      <c r="AA16" s="116"/>
      <c r="AB16" s="116"/>
      <c r="AC16" s="25"/>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44"/>
      <c r="D17" s="44"/>
      <c r="E17" s="44"/>
      <c r="F17" s="24"/>
      <c r="G17" s="25"/>
      <c r="H17" s="35"/>
      <c r="I17" s="35"/>
      <c r="J17" s="35"/>
      <c r="K17" s="35"/>
      <c r="L17" s="35"/>
      <c r="M17" s="25"/>
      <c r="N17" s="25"/>
      <c r="O17" s="25"/>
      <c r="P17" s="113"/>
      <c r="Q17" s="113"/>
      <c r="R17" s="113"/>
      <c r="S17" s="113"/>
      <c r="T17" s="25"/>
      <c r="U17" s="24"/>
      <c r="V17" s="25"/>
      <c r="W17" s="116"/>
      <c r="X17" s="116"/>
      <c r="Y17" s="116"/>
      <c r="Z17" s="116"/>
      <c r="AA17" s="116"/>
      <c r="AB17" s="116"/>
      <c r="AC17" s="25"/>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19.75">
      <c r="A18" s="21"/>
      <c r="B18" s="21"/>
      <c r="C18" s="122" t="s">
        <v>23</v>
      </c>
      <c r="D18" s="122"/>
      <c r="E18" s="122"/>
      <c r="F18" s="24"/>
      <c r="G18" s="25"/>
      <c r="H18" s="35"/>
      <c r="I18" s="35"/>
      <c r="J18" s="35"/>
      <c r="K18" s="35"/>
      <c r="L18" s="35"/>
      <c r="M18" s="25"/>
      <c r="N18" s="25"/>
      <c r="O18" s="25"/>
      <c r="P18" s="113"/>
      <c r="Q18" s="113"/>
      <c r="R18" s="113"/>
      <c r="S18" s="113"/>
      <c r="T18" s="25"/>
      <c r="U18" s="24"/>
      <c r="V18" s="24"/>
      <c r="W18" s="37"/>
      <c r="X18" s="37"/>
      <c r="Y18" s="37"/>
      <c r="Z18" s="37"/>
      <c r="AA18" s="37"/>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19.75">
      <c r="A19" s="21"/>
      <c r="B19" s="21"/>
      <c r="C19" s="44"/>
      <c r="D19" s="44"/>
      <c r="E19" s="44"/>
      <c r="F19" s="24"/>
      <c r="G19" s="25"/>
      <c r="H19" s="35"/>
      <c r="I19" s="35"/>
      <c r="J19" s="35"/>
      <c r="K19" s="35"/>
      <c r="L19" s="35"/>
      <c r="M19" s="25"/>
      <c r="N19" s="25"/>
      <c r="O19" s="25"/>
      <c r="P19" s="113"/>
      <c r="Q19" s="113"/>
      <c r="R19" s="113"/>
      <c r="S19" s="113"/>
      <c r="T19" s="25"/>
      <c r="U19" s="24"/>
      <c r="V19" s="25"/>
      <c r="W19" s="38"/>
      <c r="X19" s="38"/>
      <c r="Y19" s="38"/>
      <c r="Z19" s="38"/>
      <c r="AA19" s="38"/>
      <c r="AB19" s="25"/>
      <c r="AC19" s="25"/>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19.75">
      <c r="A20" s="21"/>
      <c r="B20" s="21"/>
      <c r="C20" s="44"/>
      <c r="D20" s="44"/>
      <c r="E20" s="44"/>
      <c r="F20" s="24"/>
      <c r="G20" s="25"/>
      <c r="H20" s="35"/>
      <c r="I20" s="35"/>
      <c r="J20" s="35"/>
      <c r="K20" s="35"/>
      <c r="L20" s="35"/>
      <c r="M20" s="25"/>
      <c r="N20" s="25"/>
      <c r="O20" s="25"/>
      <c r="P20" s="113"/>
      <c r="Q20" s="113"/>
      <c r="R20" s="113"/>
      <c r="S20" s="113"/>
      <c r="T20" s="25"/>
      <c r="U20" s="24"/>
      <c r="V20" s="25"/>
      <c r="W20" s="117" t="s">
        <v>32</v>
      </c>
      <c r="X20" s="117"/>
      <c r="Y20" s="117"/>
      <c r="Z20" s="38"/>
      <c r="AA20" s="38"/>
      <c r="AB20" s="25"/>
      <c r="AC20" s="25"/>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19.75">
      <c r="A21" s="21"/>
      <c r="B21" s="21"/>
      <c r="C21" s="122" t="s">
        <v>24</v>
      </c>
      <c r="D21" s="122"/>
      <c r="E21" s="122"/>
      <c r="F21" s="24"/>
      <c r="G21" s="25"/>
      <c r="H21" s="25"/>
      <c r="I21" s="25"/>
      <c r="J21" s="25"/>
      <c r="K21" s="25"/>
      <c r="L21" s="25"/>
      <c r="M21" s="25"/>
      <c r="N21" s="25"/>
      <c r="O21" s="25"/>
      <c r="P21" s="113"/>
      <c r="Q21" s="113"/>
      <c r="R21" s="113"/>
      <c r="S21" s="113"/>
      <c r="T21" s="25"/>
      <c r="U21" s="24"/>
      <c r="V21" s="25"/>
      <c r="W21" s="117"/>
      <c r="X21" s="117"/>
      <c r="Y21" s="117"/>
      <c r="Z21" s="38"/>
      <c r="AA21" s="38"/>
      <c r="AB21" s="25"/>
      <c r="AC21" s="25"/>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44"/>
      <c r="D22" s="44"/>
      <c r="E22" s="44"/>
      <c r="F22" s="24"/>
      <c r="G22" s="25"/>
      <c r="H22" s="25"/>
      <c r="I22" s="25"/>
      <c r="J22" s="25"/>
      <c r="K22" s="25"/>
      <c r="L22" s="25"/>
      <c r="M22" s="25"/>
      <c r="N22" s="25"/>
      <c r="O22" s="25"/>
      <c r="P22" s="113"/>
      <c r="Q22" s="113"/>
      <c r="R22" s="113"/>
      <c r="S22" s="113"/>
      <c r="T22" s="25"/>
      <c r="U22" s="24"/>
      <c r="V22" s="25"/>
      <c r="W22" s="118" t="s">
        <v>31</v>
      </c>
      <c r="X22" s="118"/>
      <c r="Y22" s="118"/>
      <c r="Z22" s="118"/>
      <c r="AA22" s="118"/>
      <c r="AB22" s="118"/>
      <c r="AC22" s="25"/>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19.75">
      <c r="A23" s="21"/>
      <c r="B23" s="21"/>
      <c r="C23" s="44"/>
      <c r="D23" s="44"/>
      <c r="E23" s="44"/>
      <c r="F23" s="24"/>
      <c r="G23" s="25"/>
      <c r="H23" s="25"/>
      <c r="I23" s="25"/>
      <c r="J23" s="25"/>
      <c r="K23" s="25"/>
      <c r="L23" s="25"/>
      <c r="M23" s="25"/>
      <c r="N23" s="25"/>
      <c r="O23" s="25"/>
      <c r="P23" s="113"/>
      <c r="Q23" s="113"/>
      <c r="R23" s="113"/>
      <c r="S23" s="113"/>
      <c r="T23" s="25"/>
      <c r="U23" s="24"/>
      <c r="V23" s="25"/>
      <c r="W23" s="118"/>
      <c r="X23" s="118"/>
      <c r="Y23" s="118"/>
      <c r="Z23" s="118"/>
      <c r="AA23" s="118"/>
      <c r="AB23" s="118"/>
      <c r="AC23" s="25"/>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19.75">
      <c r="A24" s="21"/>
      <c r="B24" s="21"/>
      <c r="C24" s="122" t="s">
        <v>25</v>
      </c>
      <c r="D24" s="122"/>
      <c r="E24" s="122"/>
      <c r="F24" s="24"/>
      <c r="G24" s="25"/>
      <c r="H24" s="25"/>
      <c r="I24" s="25"/>
      <c r="J24" s="25"/>
      <c r="K24" s="25"/>
      <c r="L24" s="25"/>
      <c r="M24" s="25"/>
      <c r="N24" s="25"/>
      <c r="O24" s="25"/>
      <c r="P24" s="113"/>
      <c r="Q24" s="113"/>
      <c r="R24" s="113"/>
      <c r="S24" s="113"/>
      <c r="T24" s="25"/>
      <c r="U24" s="24"/>
      <c r="V24" s="25"/>
      <c r="W24" s="118"/>
      <c r="X24" s="118"/>
      <c r="Y24" s="118"/>
      <c r="Z24" s="118"/>
      <c r="AA24" s="118"/>
      <c r="AB24" s="118"/>
      <c r="AC24" s="25"/>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19.75">
      <c r="A25" s="21"/>
      <c r="B25" s="21"/>
      <c r="C25" s="44"/>
      <c r="D25" s="44"/>
      <c r="E25" s="44"/>
      <c r="F25" s="24"/>
      <c r="G25" s="25"/>
      <c r="H25" s="25"/>
      <c r="I25" s="25"/>
      <c r="J25" s="25"/>
      <c r="K25" s="25"/>
      <c r="L25" s="25"/>
      <c r="M25" s="25"/>
      <c r="N25" s="25"/>
      <c r="O25" s="25"/>
      <c r="P25" s="113"/>
      <c r="Q25" s="113"/>
      <c r="R25" s="113"/>
      <c r="S25" s="113"/>
      <c r="T25" s="25"/>
      <c r="U25" s="24"/>
      <c r="V25" s="25"/>
      <c r="W25" s="118"/>
      <c r="X25" s="118"/>
      <c r="Y25" s="118"/>
      <c r="Z25" s="118"/>
      <c r="AA25" s="118"/>
      <c r="AB25" s="118"/>
      <c r="AC25" s="25"/>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19.75">
      <c r="A26" s="21"/>
      <c r="B26" s="21"/>
      <c r="C26" s="44"/>
      <c r="D26" s="44"/>
      <c r="E26" s="44"/>
      <c r="F26" s="24"/>
      <c r="G26" s="25"/>
      <c r="H26" s="25"/>
      <c r="I26" s="25"/>
      <c r="J26" s="25"/>
      <c r="K26" s="25"/>
      <c r="L26" s="25"/>
      <c r="M26" s="25"/>
      <c r="N26" s="25"/>
      <c r="O26" s="25"/>
      <c r="P26" s="113"/>
      <c r="Q26" s="113"/>
      <c r="R26" s="113"/>
      <c r="S26" s="113"/>
      <c r="T26" s="25"/>
      <c r="U26" s="24"/>
      <c r="V26" s="25"/>
      <c r="W26" s="118"/>
      <c r="X26" s="118"/>
      <c r="Y26" s="118"/>
      <c r="Z26" s="118"/>
      <c r="AA26" s="118"/>
      <c r="AB26" s="118"/>
      <c r="AC26" s="25"/>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19.75">
      <c r="A27" s="21"/>
      <c r="B27" s="21"/>
      <c r="C27" s="122" t="s">
        <v>26</v>
      </c>
      <c r="D27" s="122"/>
      <c r="E27" s="122"/>
      <c r="F27" s="24"/>
      <c r="G27" s="25"/>
      <c r="H27" s="25"/>
      <c r="I27" s="25"/>
      <c r="J27" s="25"/>
      <c r="K27" s="25"/>
      <c r="L27" s="25"/>
      <c r="M27" s="25"/>
      <c r="N27" s="25"/>
      <c r="O27" s="25"/>
      <c r="P27" s="113"/>
      <c r="Q27" s="113"/>
      <c r="R27" s="113"/>
      <c r="S27" s="113"/>
      <c r="T27" s="25"/>
      <c r="U27" s="24"/>
      <c r="V27" s="25"/>
      <c r="W27" s="25"/>
      <c r="X27" s="25"/>
      <c r="Y27" s="25"/>
      <c r="Z27" s="25"/>
      <c r="AA27" s="25"/>
      <c r="AB27" s="25"/>
      <c r="AC27" s="25"/>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25"/>
      <c r="H28" s="123" t="s">
        <v>27</v>
      </c>
      <c r="I28" s="123"/>
      <c r="J28" s="123"/>
      <c r="K28" s="123"/>
      <c r="L28" s="123"/>
      <c r="M28" s="123"/>
      <c r="N28" s="123"/>
      <c r="O28" s="25"/>
      <c r="P28" s="113"/>
      <c r="Q28" s="113"/>
      <c r="R28" s="113"/>
      <c r="S28" s="113"/>
      <c r="T28" s="25"/>
      <c r="U28" s="24"/>
      <c r="V28" s="25"/>
      <c r="W28" s="25"/>
      <c r="X28" s="25"/>
      <c r="Y28" s="25"/>
      <c r="Z28" s="25"/>
      <c r="AA28" s="25"/>
      <c r="AB28" s="25"/>
      <c r="AC28" s="25"/>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25"/>
      <c r="H29" s="25"/>
      <c r="I29" s="25"/>
      <c r="J29" s="25"/>
      <c r="K29" s="25"/>
      <c r="L29" s="25"/>
      <c r="M29" s="25"/>
      <c r="N29" s="25"/>
      <c r="O29" s="25"/>
      <c r="P29" s="113"/>
      <c r="Q29" s="113"/>
      <c r="R29" s="113"/>
      <c r="S29" s="113"/>
      <c r="T29" s="25"/>
      <c r="U29" s="24"/>
      <c r="V29" s="25"/>
      <c r="W29" s="25"/>
      <c r="X29" s="25"/>
      <c r="Y29" s="25"/>
      <c r="Z29" s="25"/>
      <c r="AA29" s="25"/>
      <c r="AB29" s="25"/>
      <c r="AC29" s="25"/>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25"/>
      <c r="H30" s="25"/>
      <c r="I30" s="25"/>
      <c r="J30" s="25"/>
      <c r="K30" s="25"/>
      <c r="L30" s="25"/>
      <c r="M30" s="25"/>
      <c r="N30" s="25"/>
      <c r="O30" s="25"/>
      <c r="P30" s="113"/>
      <c r="Q30" s="113"/>
      <c r="R30" s="113"/>
      <c r="S30" s="113"/>
      <c r="T30" s="25"/>
      <c r="U30" s="24"/>
      <c r="V30" s="25"/>
      <c r="W30" s="25"/>
      <c r="X30" s="25"/>
      <c r="Y30" s="25"/>
      <c r="Z30" s="25"/>
      <c r="AA30" s="25"/>
      <c r="AB30" s="25"/>
      <c r="AC30" s="25"/>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25"/>
      <c r="H31" s="25"/>
      <c r="I31" s="25"/>
      <c r="J31" s="25"/>
      <c r="K31" s="25"/>
      <c r="L31" s="25"/>
      <c r="M31" s="25"/>
      <c r="N31" s="25"/>
      <c r="O31" s="25"/>
      <c r="P31" s="113"/>
      <c r="Q31" s="113"/>
      <c r="R31" s="113"/>
      <c r="S31" s="113"/>
      <c r="T31" s="25"/>
      <c r="U31" s="24"/>
      <c r="V31" s="25"/>
      <c r="W31" s="25"/>
      <c r="X31" s="25"/>
      <c r="Y31" s="25"/>
      <c r="Z31" s="25"/>
      <c r="AA31" s="25"/>
      <c r="AB31" s="25"/>
      <c r="AC31" s="25"/>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25"/>
      <c r="H32" s="25"/>
      <c r="I32" s="25"/>
      <c r="J32" s="25"/>
      <c r="K32" s="25"/>
      <c r="L32" s="25"/>
      <c r="M32" s="25"/>
      <c r="N32" s="25"/>
      <c r="O32" s="25"/>
      <c r="P32" s="25"/>
      <c r="Q32" s="25"/>
      <c r="R32" s="25"/>
      <c r="S32" s="25"/>
      <c r="T32" s="25"/>
      <c r="U32" s="24"/>
      <c r="V32" s="25"/>
      <c r="W32" s="25"/>
      <c r="X32" s="25"/>
      <c r="Y32" s="25"/>
      <c r="Z32" s="25"/>
      <c r="AA32" s="25"/>
      <c r="AB32" s="25"/>
      <c r="AC32" s="25"/>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25"/>
      <c r="H33" s="25"/>
      <c r="I33" s="25"/>
      <c r="J33" s="25"/>
      <c r="K33" s="25"/>
      <c r="L33" s="25"/>
      <c r="M33" s="25"/>
      <c r="N33" s="25"/>
      <c r="O33" s="25"/>
      <c r="P33" s="25"/>
      <c r="Q33" s="25"/>
      <c r="R33" s="25"/>
      <c r="S33" s="25"/>
      <c r="T33" s="25"/>
      <c r="U33" s="24"/>
      <c r="V33" s="25"/>
      <c r="W33" s="25"/>
      <c r="X33" s="25"/>
      <c r="Y33" s="25"/>
      <c r="Z33" s="25"/>
      <c r="AA33" s="25"/>
      <c r="AB33" s="25"/>
      <c r="AC33" s="25"/>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25"/>
      <c r="H34" s="25"/>
      <c r="I34" s="25"/>
      <c r="J34" s="25"/>
      <c r="K34" s="25"/>
      <c r="L34" s="25"/>
      <c r="M34" s="25"/>
      <c r="N34" s="25"/>
      <c r="O34" s="25"/>
      <c r="P34" s="25"/>
      <c r="Q34" s="25"/>
      <c r="R34" s="25"/>
      <c r="S34" s="25"/>
      <c r="T34" s="25"/>
      <c r="U34" s="24"/>
      <c r="V34" s="25"/>
      <c r="W34" s="25"/>
      <c r="X34" s="25"/>
      <c r="Y34" s="25"/>
      <c r="Z34" s="25"/>
      <c r="AA34" s="25"/>
      <c r="AB34" s="25"/>
      <c r="AC34" s="25"/>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25"/>
      <c r="H35" s="25"/>
      <c r="I35" s="25"/>
      <c r="J35" s="25"/>
      <c r="K35" s="25"/>
      <c r="L35" s="25"/>
      <c r="M35" s="25"/>
      <c r="N35" s="25"/>
      <c r="O35" s="25"/>
      <c r="P35" s="25"/>
      <c r="Q35" s="25"/>
      <c r="R35" s="25"/>
      <c r="S35" s="25"/>
      <c r="T35" s="25"/>
      <c r="U35" s="24"/>
      <c r="V35" s="25"/>
      <c r="W35" s="25"/>
      <c r="X35" s="25"/>
      <c r="Y35" s="25"/>
      <c r="Z35" s="25"/>
      <c r="AA35" s="25"/>
      <c r="AB35" s="25"/>
      <c r="AC35" s="25"/>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25"/>
      <c r="H36" s="25"/>
      <c r="I36" s="25"/>
      <c r="J36" s="25"/>
      <c r="K36" s="25"/>
      <c r="L36" s="25"/>
      <c r="M36" s="25"/>
      <c r="N36" s="25"/>
      <c r="O36" s="25"/>
      <c r="P36" s="25"/>
      <c r="Q36" s="25"/>
      <c r="R36" s="25"/>
      <c r="S36" s="25"/>
      <c r="T36" s="25"/>
      <c r="U36" s="24"/>
      <c r="V36" s="25"/>
      <c r="W36" s="25"/>
      <c r="X36" s="25"/>
      <c r="Y36" s="25"/>
      <c r="Z36" s="25"/>
      <c r="AA36" s="25"/>
      <c r="AB36" s="25"/>
      <c r="AC36" s="25"/>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row>
    <row r="53" spans="1:82">
      <c r="A53" s="42"/>
    </row>
    <row r="54" spans="1:82">
      <c r="A54" s="42"/>
    </row>
    <row r="55" spans="1:82">
      <c r="A55" s="42"/>
    </row>
    <row r="56" spans="1:82">
      <c r="A56" s="42"/>
    </row>
    <row r="57" spans="1:82">
      <c r="A57" s="42"/>
    </row>
    <row r="58" spans="1:82">
      <c r="A58" s="42"/>
    </row>
    <row r="59" spans="1:82">
      <c r="A59" s="42"/>
    </row>
    <row r="60" spans="1:82">
      <c r="A60" s="42"/>
    </row>
    <row r="61" spans="1:82">
      <c r="A61" s="42"/>
    </row>
    <row r="62" spans="1:82">
      <c r="A62" s="42"/>
    </row>
    <row r="63" spans="1:82">
      <c r="A63" s="42"/>
    </row>
    <row r="64" spans="1:82">
      <c r="A64" s="42"/>
    </row>
    <row r="65" spans="1:1">
      <c r="A65" s="42"/>
    </row>
    <row r="66" spans="1:1">
      <c r="A66" s="42"/>
    </row>
    <row r="67" spans="1:1">
      <c r="A67" s="42"/>
    </row>
    <row r="68" spans="1:1">
      <c r="A68" s="42"/>
    </row>
    <row r="69" spans="1:1">
      <c r="A69" s="42"/>
    </row>
    <row r="70" spans="1:1">
      <c r="A70" s="42"/>
    </row>
    <row r="71" spans="1:1">
      <c r="A71" s="42"/>
    </row>
    <row r="72" spans="1:1">
      <c r="A72" s="42"/>
    </row>
    <row r="73" spans="1:1">
      <c r="A73" s="42"/>
    </row>
    <row r="74" spans="1:1">
      <c r="A74" s="42"/>
    </row>
    <row r="75" spans="1:1">
      <c r="A75" s="42"/>
    </row>
    <row r="76" spans="1:1">
      <c r="A76" s="42"/>
    </row>
    <row r="77" spans="1:1">
      <c r="A77" s="42"/>
    </row>
    <row r="78" spans="1:1">
      <c r="A78" s="42"/>
    </row>
    <row r="79" spans="1:1">
      <c r="A79" s="42"/>
    </row>
    <row r="80" spans="1:1">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sheetData>
  <mergeCells count="16">
    <mergeCell ref="C12:E12"/>
    <mergeCell ref="H13:K14"/>
    <mergeCell ref="C15:E15"/>
    <mergeCell ref="C18:E18"/>
    <mergeCell ref="H28:N28"/>
    <mergeCell ref="C21:E21"/>
    <mergeCell ref="C24:E24"/>
    <mergeCell ref="C27:E27"/>
    <mergeCell ref="P15:S31"/>
    <mergeCell ref="G2:I3"/>
    <mergeCell ref="H4:K5"/>
    <mergeCell ref="W4:Y5"/>
    <mergeCell ref="H7:S12"/>
    <mergeCell ref="W9:AB17"/>
    <mergeCell ref="W20:Y21"/>
    <mergeCell ref="W22:AB26"/>
  </mergeCells>
  <hyperlinks>
    <hyperlink ref="C15" location="'Data recording'!G2" display="Data recording" xr:uid="{F9847707-ACF8-4460-AB3B-4D163C1C3467}"/>
    <hyperlink ref="C18" location="'Composite scale'!G2" display="Composite scale" xr:uid="{58676590-9E02-46E5-8C3A-A75068E9B1C0}"/>
    <hyperlink ref="C21" location="Visulization!G2" display="Visulization" xr:uid="{93592351-4C52-4F69-84E5-0F5A18D4B1BD}"/>
    <hyperlink ref="C24" location="Import!G2" display="Import data" xr:uid="{6DFCE475-3237-4425-87D9-53E2597C4E19}"/>
    <hyperlink ref="C27" location="Subgroups!G2" display="Subgroups" xr:uid="{67403BC9-95E8-4DD3-AE58-386B9873A464}"/>
    <hyperlink ref="B2" location="Help!G2" display="Help" xr:uid="{DE01FC79-0D19-4271-B02B-E3507F3C0521}"/>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20B3BC-D035-4506-9E03-30EB6EF5F005}">
  <sheetPr codeName="Sheet5"/>
  <dimension ref="A1:CD170"/>
  <sheetViews>
    <sheetView topLeftCell="H9" zoomScaleNormal="100" workbookViewId="0">
      <selection activeCell="W27" sqref="W27"/>
    </sheetView>
  </sheetViews>
  <sheetFormatPr defaultRowHeight="14.6"/>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30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ht="15" customHeight="1">
      <c r="A4" s="19"/>
      <c r="B4" s="21"/>
      <c r="C4" s="21"/>
      <c r="D4" s="21"/>
      <c r="E4" s="21"/>
      <c r="F4" s="24"/>
      <c r="G4" s="24"/>
      <c r="H4" s="24"/>
      <c r="I4" s="24"/>
      <c r="J4" s="49"/>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ht="15" customHeight="1">
      <c r="A5" s="19"/>
      <c r="B5" s="21"/>
      <c r="C5" s="21"/>
      <c r="D5" s="21"/>
      <c r="E5" s="21"/>
      <c r="F5" s="24"/>
      <c r="G5" s="25"/>
      <c r="H5" s="121" t="s">
        <v>33</v>
      </c>
      <c r="I5" s="121"/>
      <c r="J5" s="25"/>
      <c r="K5" s="25"/>
      <c r="L5" s="25"/>
      <c r="M5" s="25"/>
      <c r="N5" s="25"/>
      <c r="O5" s="25"/>
      <c r="P5" s="25"/>
      <c r="Q5" s="25"/>
      <c r="R5" s="25"/>
      <c r="S5" s="25"/>
      <c r="T5" s="25"/>
      <c r="U5" s="25"/>
      <c r="V5" s="25"/>
      <c r="W5" s="25"/>
      <c r="X5" s="25"/>
      <c r="Y5" s="25"/>
      <c r="Z5" s="25"/>
      <c r="AA5" s="25"/>
      <c r="AB5" s="25"/>
      <c r="AC5" s="24"/>
      <c r="AD5" s="142" t="s">
        <v>34</v>
      </c>
      <c r="AE5" s="143"/>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c r="A6" s="19"/>
      <c r="B6" s="21"/>
      <c r="C6" s="21"/>
      <c r="D6" s="21"/>
      <c r="E6" s="21"/>
      <c r="F6" s="24"/>
      <c r="G6" s="25"/>
      <c r="H6" s="121"/>
      <c r="I6" s="121"/>
      <c r="J6" s="25"/>
      <c r="K6" s="25"/>
      <c r="L6" s="25"/>
      <c r="M6" s="25"/>
      <c r="N6" s="25"/>
      <c r="O6" s="25"/>
      <c r="P6" s="25"/>
      <c r="Q6" s="25"/>
      <c r="R6" s="25"/>
      <c r="S6" s="25"/>
      <c r="T6" s="25"/>
      <c r="U6" s="25"/>
      <c r="V6" s="25"/>
      <c r="W6" s="25"/>
      <c r="X6" s="25"/>
      <c r="Y6" s="25"/>
      <c r="Z6" s="25"/>
      <c r="AA6" s="25"/>
      <c r="AB6" s="25"/>
      <c r="AC6" s="24"/>
      <c r="AD6" s="143"/>
      <c r="AE6" s="143"/>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c r="A7" s="21"/>
      <c r="B7" s="21"/>
      <c r="C7" s="21"/>
      <c r="D7" s="21"/>
      <c r="E7" s="21"/>
      <c r="F7" s="24"/>
      <c r="G7" s="25"/>
      <c r="H7" s="144" t="s">
        <v>35</v>
      </c>
      <c r="I7" s="144"/>
      <c r="J7" s="144"/>
      <c r="K7" s="144"/>
      <c r="L7" s="144"/>
      <c r="M7" s="144"/>
      <c r="N7" s="144"/>
      <c r="O7" s="144"/>
      <c r="P7" s="144"/>
      <c r="Q7" s="144"/>
      <c r="R7" s="144"/>
      <c r="S7" s="144"/>
      <c r="T7" s="144"/>
      <c r="U7" s="144"/>
      <c r="V7" s="144"/>
      <c r="W7" s="144"/>
      <c r="X7" s="144"/>
      <c r="Y7" s="144"/>
      <c r="Z7" s="144"/>
      <c r="AA7" s="144"/>
      <c r="AB7" s="25"/>
      <c r="AC7" s="24"/>
      <c r="AD7" s="143"/>
      <c r="AE7" s="143"/>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c r="A8" s="21"/>
      <c r="B8" s="21"/>
      <c r="C8" s="21"/>
      <c r="D8" s="21"/>
      <c r="E8" s="21"/>
      <c r="F8" s="24"/>
      <c r="G8" s="25"/>
      <c r="H8" s="144"/>
      <c r="I8" s="144"/>
      <c r="J8" s="144"/>
      <c r="K8" s="144"/>
      <c r="L8" s="144"/>
      <c r="M8" s="144"/>
      <c r="N8" s="144"/>
      <c r="O8" s="144"/>
      <c r="P8" s="144"/>
      <c r="Q8" s="144"/>
      <c r="R8" s="144"/>
      <c r="S8" s="144"/>
      <c r="T8" s="144"/>
      <c r="U8" s="144"/>
      <c r="V8" s="144"/>
      <c r="W8" s="144"/>
      <c r="X8" s="144"/>
      <c r="Y8" s="144"/>
      <c r="Z8" s="144"/>
      <c r="AA8" s="144"/>
      <c r="AB8" s="25"/>
      <c r="AC8" s="24"/>
      <c r="AD8" s="143"/>
      <c r="AE8" s="143"/>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c r="A9" s="21"/>
      <c r="B9" s="21"/>
      <c r="C9" s="21"/>
      <c r="D9" s="21"/>
      <c r="E9" s="21"/>
      <c r="F9" s="24"/>
      <c r="G9" s="25"/>
      <c r="H9" s="144"/>
      <c r="I9" s="144"/>
      <c r="J9" s="144"/>
      <c r="K9" s="144"/>
      <c r="L9" s="144"/>
      <c r="M9" s="144"/>
      <c r="N9" s="144"/>
      <c r="O9" s="144"/>
      <c r="P9" s="144"/>
      <c r="Q9" s="144"/>
      <c r="R9" s="144"/>
      <c r="S9" s="144"/>
      <c r="T9" s="144"/>
      <c r="U9" s="144"/>
      <c r="V9" s="144"/>
      <c r="W9" s="144"/>
      <c r="X9" s="144"/>
      <c r="Y9" s="144"/>
      <c r="Z9" s="144"/>
      <c r="AA9" s="144"/>
      <c r="AB9" s="25"/>
      <c r="AC9" s="24"/>
      <c r="AD9" s="143"/>
      <c r="AE9" s="143"/>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c r="A10" s="21"/>
      <c r="B10" s="21"/>
      <c r="C10" s="21"/>
      <c r="D10" s="21"/>
      <c r="E10" s="21"/>
      <c r="F10" s="24"/>
      <c r="G10" s="25"/>
      <c r="H10" s="144"/>
      <c r="I10" s="144"/>
      <c r="J10" s="144"/>
      <c r="K10" s="144"/>
      <c r="L10" s="144"/>
      <c r="M10" s="144"/>
      <c r="N10" s="144"/>
      <c r="O10" s="144"/>
      <c r="P10" s="144"/>
      <c r="Q10" s="144"/>
      <c r="R10" s="144"/>
      <c r="S10" s="144"/>
      <c r="T10" s="144"/>
      <c r="U10" s="144"/>
      <c r="V10" s="144"/>
      <c r="W10" s="144"/>
      <c r="X10" s="144"/>
      <c r="Y10" s="144"/>
      <c r="Z10" s="144"/>
      <c r="AA10" s="144"/>
      <c r="AB10" s="25"/>
      <c r="AC10" s="24"/>
      <c r="AD10" s="143"/>
      <c r="AE10" s="143"/>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c r="A11" s="26"/>
      <c r="B11" s="27"/>
      <c r="C11" s="27"/>
      <c r="D11" s="27"/>
      <c r="E11" s="28"/>
      <c r="F11" s="24"/>
      <c r="G11" s="25"/>
      <c r="H11" s="25"/>
      <c r="I11" s="25"/>
      <c r="J11" s="25"/>
      <c r="K11" s="25"/>
      <c r="L11" s="25"/>
      <c r="M11" s="25"/>
      <c r="N11" s="25"/>
      <c r="O11" s="25"/>
      <c r="P11" s="25"/>
      <c r="Q11" s="25"/>
      <c r="R11" s="25"/>
      <c r="S11" s="25"/>
      <c r="T11" s="25"/>
      <c r="U11" s="25"/>
      <c r="V11" s="25"/>
      <c r="W11" s="25"/>
      <c r="X11" s="25"/>
      <c r="Y11" s="25"/>
      <c r="Z11" s="25"/>
      <c r="AA11" s="25"/>
      <c r="AB11" s="25"/>
      <c r="AC11" s="24"/>
      <c r="AD11" s="143"/>
      <c r="AE11" s="143"/>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0.6">
      <c r="A12" s="29"/>
      <c r="B12" s="30"/>
      <c r="C12" s="119" t="s">
        <v>19</v>
      </c>
      <c r="D12" s="119"/>
      <c r="E12" s="120"/>
      <c r="F12" s="24"/>
      <c r="G12" s="25"/>
      <c r="H12" s="145" t="s">
        <v>36</v>
      </c>
      <c r="I12" s="146"/>
      <c r="J12" s="147" t="s">
        <v>37</v>
      </c>
      <c r="K12" s="148"/>
      <c r="L12" s="149" t="s">
        <v>38</v>
      </c>
      <c r="M12" s="146"/>
      <c r="N12" s="147" t="s">
        <v>39</v>
      </c>
      <c r="O12" s="148"/>
      <c r="P12" s="149" t="s">
        <v>40</v>
      </c>
      <c r="Q12" s="146"/>
      <c r="R12" s="147" t="s">
        <v>41</v>
      </c>
      <c r="S12" s="148"/>
      <c r="T12" s="149" t="s">
        <v>42</v>
      </c>
      <c r="U12" s="146"/>
      <c r="V12" s="147" t="s">
        <v>43</v>
      </c>
      <c r="W12" s="148"/>
      <c r="X12" s="147" t="s">
        <v>44</v>
      </c>
      <c r="Y12" s="148"/>
      <c r="Z12" s="149" t="s">
        <v>45</v>
      </c>
      <c r="AA12" s="150"/>
      <c r="AB12" s="25"/>
      <c r="AC12" s="24"/>
      <c r="AD12" s="143"/>
      <c r="AE12" s="143"/>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0.6">
      <c r="A13" s="31"/>
      <c r="B13" s="32"/>
      <c r="C13" s="33"/>
      <c r="D13" s="32"/>
      <c r="E13" s="34"/>
      <c r="F13" s="24"/>
      <c r="G13" s="25"/>
      <c r="H13" s="135"/>
      <c r="I13" s="136"/>
      <c r="J13" s="135"/>
      <c r="K13" s="136"/>
      <c r="L13" s="135"/>
      <c r="M13" s="136"/>
      <c r="N13" s="135"/>
      <c r="O13" s="136"/>
      <c r="P13" s="135"/>
      <c r="Q13" s="136"/>
      <c r="R13" s="135"/>
      <c r="S13" s="136"/>
      <c r="T13" s="135"/>
      <c r="U13" s="136"/>
      <c r="V13" s="135"/>
      <c r="W13" s="136"/>
      <c r="X13" s="135"/>
      <c r="Y13" s="136"/>
      <c r="Z13" s="135"/>
      <c r="AA13" s="136"/>
      <c r="AB13" s="25"/>
      <c r="AC13" s="24"/>
      <c r="AD13" s="143"/>
      <c r="AE13" s="143"/>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36"/>
      <c r="D14" s="21"/>
      <c r="E14" s="21"/>
      <c r="F14" s="24"/>
      <c r="G14" s="25"/>
      <c r="H14" s="135"/>
      <c r="I14" s="136"/>
      <c r="J14" s="135"/>
      <c r="K14" s="136"/>
      <c r="L14" s="135"/>
      <c r="M14" s="136"/>
      <c r="N14" s="135"/>
      <c r="O14" s="136"/>
      <c r="P14" s="135"/>
      <c r="Q14" s="136"/>
      <c r="R14" s="135"/>
      <c r="S14" s="136"/>
      <c r="T14" s="135"/>
      <c r="U14" s="136"/>
      <c r="V14" s="135"/>
      <c r="W14" s="136"/>
      <c r="X14" s="135"/>
      <c r="Y14" s="136"/>
      <c r="Z14" s="135"/>
      <c r="AA14" s="136"/>
      <c r="AB14" s="25"/>
      <c r="AC14" s="24"/>
      <c r="AD14" s="143"/>
      <c r="AE14" s="143"/>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22" t="s">
        <v>21</v>
      </c>
      <c r="D15" s="122"/>
      <c r="E15" s="122"/>
      <c r="F15" s="24"/>
      <c r="G15" s="25"/>
      <c r="H15" s="137"/>
      <c r="I15" s="138"/>
      <c r="J15" s="137"/>
      <c r="K15" s="138"/>
      <c r="L15" s="137"/>
      <c r="M15" s="138"/>
      <c r="N15" s="137"/>
      <c r="O15" s="138"/>
      <c r="P15" s="137"/>
      <c r="Q15" s="138"/>
      <c r="R15" s="137"/>
      <c r="S15" s="138"/>
      <c r="T15" s="137"/>
      <c r="U15" s="138"/>
      <c r="V15" s="137"/>
      <c r="W15" s="138"/>
      <c r="X15" s="137"/>
      <c r="Y15" s="138"/>
      <c r="Z15" s="137"/>
      <c r="AA15" s="138"/>
      <c r="AB15" s="25"/>
      <c r="AC15" s="24"/>
      <c r="AD15" s="143"/>
      <c r="AE15" s="143"/>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44"/>
      <c r="D16" s="44"/>
      <c r="E16" s="44"/>
      <c r="F16" s="24"/>
      <c r="G16" s="25"/>
      <c r="H16" s="25"/>
      <c r="I16" s="25"/>
      <c r="J16" s="25"/>
      <c r="K16" s="25"/>
      <c r="L16" s="25"/>
      <c r="M16" s="25"/>
      <c r="N16" s="25"/>
      <c r="O16" s="25"/>
      <c r="P16" s="25"/>
      <c r="Q16" s="25"/>
      <c r="R16" s="25"/>
      <c r="S16" s="25"/>
      <c r="T16" s="25"/>
      <c r="U16" s="25"/>
      <c r="V16" s="25"/>
      <c r="W16" s="25"/>
      <c r="X16" s="25"/>
      <c r="Y16" s="25"/>
      <c r="Z16" s="25"/>
      <c r="AA16" s="25"/>
      <c r="AB16" s="25"/>
      <c r="AC16" s="24"/>
      <c r="AD16" s="143"/>
      <c r="AE16" s="143"/>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44"/>
      <c r="D17" s="44"/>
      <c r="E17" s="44"/>
      <c r="F17" s="24"/>
      <c r="G17" s="25"/>
      <c r="H17" s="139" t="s">
        <v>46</v>
      </c>
      <c r="I17" s="140"/>
      <c r="J17" s="140"/>
      <c r="K17" s="140"/>
      <c r="L17" s="140"/>
      <c r="M17" s="140"/>
      <c r="N17" s="140"/>
      <c r="O17" s="140"/>
      <c r="P17" s="140"/>
      <c r="Q17" s="140"/>
      <c r="R17" s="140"/>
      <c r="S17" s="140"/>
      <c r="T17" s="140"/>
      <c r="U17" s="140"/>
      <c r="V17" s="140"/>
      <c r="W17" s="140"/>
      <c r="X17" s="140"/>
      <c r="Y17" s="140"/>
      <c r="Z17" s="140"/>
      <c r="AA17" s="140"/>
      <c r="AB17" s="25"/>
      <c r="AC17" s="24"/>
      <c r="AD17" s="143"/>
      <c r="AE17" s="143"/>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19.75">
      <c r="A18" s="21"/>
      <c r="B18" s="21"/>
      <c r="C18" s="122" t="s">
        <v>23</v>
      </c>
      <c r="D18" s="122"/>
      <c r="E18" s="122"/>
      <c r="F18" s="24"/>
      <c r="G18" s="25"/>
      <c r="H18" s="25"/>
      <c r="I18" s="25"/>
      <c r="J18" s="25"/>
      <c r="K18" s="25"/>
      <c r="L18" s="25"/>
      <c r="M18" s="25"/>
      <c r="N18" s="25"/>
      <c r="O18" s="25"/>
      <c r="P18" s="25"/>
      <c r="Q18" s="25"/>
      <c r="R18" s="25"/>
      <c r="S18" s="25"/>
      <c r="T18" s="25"/>
      <c r="U18" s="25"/>
      <c r="V18" s="25"/>
      <c r="W18" s="25"/>
      <c r="X18" s="25"/>
      <c r="Y18" s="25"/>
      <c r="Z18" s="25"/>
      <c r="AA18" s="25"/>
      <c r="AB18" s="25"/>
      <c r="AC18" s="24"/>
      <c r="AD18" s="143"/>
      <c r="AE18" s="143"/>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19.75">
      <c r="A19" s="21"/>
      <c r="B19" s="21"/>
      <c r="C19" s="44"/>
      <c r="D19" s="44"/>
      <c r="E19" s="44"/>
      <c r="F19" s="24"/>
      <c r="G19" s="24"/>
      <c r="H19" s="24"/>
      <c r="I19" s="24"/>
      <c r="J19" s="24"/>
      <c r="K19" s="24"/>
      <c r="L19" s="24"/>
      <c r="M19" s="24"/>
      <c r="N19" s="24"/>
      <c r="O19" s="24"/>
      <c r="P19" s="24"/>
      <c r="Q19" s="24"/>
      <c r="R19" s="24"/>
      <c r="S19" s="24"/>
      <c r="T19" s="24"/>
      <c r="U19" s="24"/>
      <c r="V19" s="24"/>
      <c r="W19" s="24"/>
      <c r="X19" s="24"/>
      <c r="Y19" s="24"/>
      <c r="Z19" s="24"/>
      <c r="AA19" s="24"/>
      <c r="AB19" s="24"/>
      <c r="AC19" s="24"/>
      <c r="AD19" s="143"/>
      <c r="AE19" s="143"/>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20.25" customHeight="1">
      <c r="A20" s="21"/>
      <c r="B20" s="21"/>
      <c r="C20" s="44"/>
      <c r="D20" s="44"/>
      <c r="E20" s="44"/>
      <c r="F20" s="24"/>
      <c r="G20" s="25"/>
      <c r="H20" s="141" t="s">
        <v>47</v>
      </c>
      <c r="I20" s="141"/>
      <c r="J20" s="25"/>
      <c r="K20" s="25"/>
      <c r="L20" s="25"/>
      <c r="M20" s="25"/>
      <c r="N20" s="25"/>
      <c r="O20" s="25"/>
      <c r="P20" s="25"/>
      <c r="Q20" s="25"/>
      <c r="R20" s="25"/>
      <c r="S20" s="25"/>
      <c r="T20" s="25"/>
      <c r="U20" s="25"/>
      <c r="V20" s="25"/>
      <c r="W20" s="25"/>
      <c r="X20" s="25"/>
      <c r="Y20" s="25"/>
      <c r="Z20" s="25"/>
      <c r="AA20" s="25"/>
      <c r="AB20" s="25"/>
      <c r="AC20" s="24"/>
      <c r="AD20" s="143"/>
      <c r="AE20" s="143"/>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20.25" customHeight="1">
      <c r="A21" s="21"/>
      <c r="B21" s="21"/>
      <c r="C21" s="122" t="s">
        <v>24</v>
      </c>
      <c r="D21" s="122"/>
      <c r="E21" s="122"/>
      <c r="F21" s="24"/>
      <c r="G21" s="25"/>
      <c r="H21" s="141"/>
      <c r="I21" s="141"/>
      <c r="J21" s="50"/>
      <c r="K21" s="51"/>
      <c r="L21" s="50"/>
      <c r="M21" s="51"/>
      <c r="N21" s="50"/>
      <c r="O21" s="51"/>
      <c r="P21" s="50"/>
      <c r="Q21" s="51"/>
      <c r="R21" s="50"/>
      <c r="S21" s="51"/>
      <c r="T21" s="50"/>
      <c r="U21" s="51"/>
      <c r="V21" s="50"/>
      <c r="W21" s="51"/>
      <c r="X21" s="50"/>
      <c r="Y21" s="51"/>
      <c r="Z21" s="50"/>
      <c r="AA21" s="25"/>
      <c r="AB21" s="25"/>
      <c r="AC21" s="24"/>
      <c r="AD21" s="143"/>
      <c r="AE21" s="143"/>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44"/>
      <c r="D22" s="44"/>
      <c r="E22" s="44"/>
      <c r="F22" s="24"/>
      <c r="G22" s="25"/>
      <c r="H22" s="131" t="s">
        <v>48</v>
      </c>
      <c r="I22" s="132"/>
      <c r="J22" s="131" t="s">
        <v>49</v>
      </c>
      <c r="K22" s="132"/>
      <c r="L22" s="131" t="s">
        <v>50</v>
      </c>
      <c r="M22" s="132"/>
      <c r="N22" s="131" t="s">
        <v>51</v>
      </c>
      <c r="O22" s="132"/>
      <c r="P22" s="131" t="s">
        <v>52</v>
      </c>
      <c r="Q22" s="132"/>
      <c r="R22" s="131" t="s">
        <v>53</v>
      </c>
      <c r="S22" s="132"/>
      <c r="T22" s="131" t="s">
        <v>54</v>
      </c>
      <c r="U22" s="132"/>
      <c r="V22" s="131" t="s">
        <v>55</v>
      </c>
      <c r="W22" s="132"/>
      <c r="X22" s="131" t="s">
        <v>56</v>
      </c>
      <c r="Y22" s="132"/>
      <c r="Z22" s="131" t="s">
        <v>57</v>
      </c>
      <c r="AA22" s="132"/>
      <c r="AB22" s="25"/>
      <c r="AC22" s="24"/>
      <c r="AD22" s="143"/>
      <c r="AE22" s="143"/>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23.15">
      <c r="A23" s="21"/>
      <c r="B23" s="21"/>
      <c r="C23" s="44"/>
      <c r="D23" s="44"/>
      <c r="E23" s="44"/>
      <c r="F23" s="24"/>
      <c r="G23" s="25"/>
      <c r="H23" s="133"/>
      <c r="I23" s="134"/>
      <c r="J23" s="133"/>
      <c r="K23" s="134"/>
      <c r="L23" s="133"/>
      <c r="M23" s="134"/>
      <c r="N23" s="133"/>
      <c r="O23" s="134"/>
      <c r="P23" s="133"/>
      <c r="Q23" s="134"/>
      <c r="R23" s="133"/>
      <c r="S23" s="134"/>
      <c r="T23" s="133"/>
      <c r="U23" s="134"/>
      <c r="V23" s="133"/>
      <c r="W23" s="134"/>
      <c r="X23" s="133"/>
      <c r="Y23" s="134"/>
      <c r="Z23" s="133"/>
      <c r="AA23" s="134"/>
      <c r="AB23" s="25"/>
      <c r="AC23" s="24"/>
      <c r="AD23" s="143"/>
      <c r="AE23" s="143"/>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23.15">
      <c r="A24" s="21"/>
      <c r="B24" s="21"/>
      <c r="C24" s="122" t="s">
        <v>25</v>
      </c>
      <c r="D24" s="122"/>
      <c r="E24" s="122"/>
      <c r="F24" s="24"/>
      <c r="G24" s="25"/>
      <c r="H24" s="124" t="str">
        <f>IF(H23="","*",1)</f>
        <v>*</v>
      </c>
      <c r="I24" s="124"/>
      <c r="J24" s="124" t="str">
        <f>IF(J23="","*",1)</f>
        <v>*</v>
      </c>
      <c r="K24" s="124"/>
      <c r="L24" s="124" t="str">
        <f>IF(L23="","*",1)</f>
        <v>*</v>
      </c>
      <c r="M24" s="124"/>
      <c r="N24" s="124" t="str">
        <f>IF(N23="","*",1)</f>
        <v>*</v>
      </c>
      <c r="O24" s="124"/>
      <c r="P24" s="124" t="str">
        <f>IF(P23="","*",1)</f>
        <v>*</v>
      </c>
      <c r="Q24" s="124"/>
      <c r="R24" s="124" t="str">
        <f>IF(R23="","*",1)</f>
        <v>*</v>
      </c>
      <c r="S24" s="124"/>
      <c r="T24" s="124" t="str">
        <f>IF(T23="","*",1)</f>
        <v>*</v>
      </c>
      <c r="U24" s="124"/>
      <c r="V24" s="124" t="str">
        <f>IF(V23="","*",1)</f>
        <v>*</v>
      </c>
      <c r="W24" s="124"/>
      <c r="X24" s="124" t="str">
        <f>IF(X23="","*",1)</f>
        <v>*</v>
      </c>
      <c r="Y24" s="124"/>
      <c r="Z24" s="124" t="str">
        <f>IF(Z23="","*",1)</f>
        <v>*</v>
      </c>
      <c r="AA24" s="124"/>
      <c r="AB24" s="25"/>
      <c r="AC24" s="24"/>
      <c r="AD24" s="143"/>
      <c r="AE24" s="143"/>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19.75">
      <c r="A25" s="21"/>
      <c r="B25" s="21"/>
      <c r="C25" s="44"/>
      <c r="D25" s="44"/>
      <c r="E25" s="44"/>
      <c r="F25" s="24"/>
      <c r="G25" s="25"/>
      <c r="H25" s="25"/>
      <c r="I25" s="25"/>
      <c r="J25" s="25"/>
      <c r="K25" s="25"/>
      <c r="L25" s="25"/>
      <c r="M25" s="25"/>
      <c r="N25" s="25"/>
      <c r="O25" s="25"/>
      <c r="P25" s="25"/>
      <c r="Q25" s="25"/>
      <c r="R25" s="25"/>
      <c r="S25" s="25"/>
      <c r="T25" s="25"/>
      <c r="U25" s="25"/>
      <c r="V25" s="25"/>
      <c r="W25" s="25"/>
      <c r="X25" s="25"/>
      <c r="Y25" s="25"/>
      <c r="Z25" s="25"/>
      <c r="AA25" s="25"/>
      <c r="AB25" s="25"/>
      <c r="AC25" s="24"/>
      <c r="AD25" s="143"/>
      <c r="AE25" s="143"/>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19.75">
      <c r="A26" s="21"/>
      <c r="B26" s="21"/>
      <c r="C26" s="44"/>
      <c r="D26" s="44"/>
      <c r="E26" s="44"/>
      <c r="F26" s="24"/>
      <c r="G26" s="25"/>
      <c r="H26" s="125" t="s">
        <v>58</v>
      </c>
      <c r="I26" s="125"/>
      <c r="J26" s="125"/>
      <c r="K26" s="125"/>
      <c r="L26" s="125"/>
      <c r="M26" s="125"/>
      <c r="N26" s="125"/>
      <c r="O26" s="125"/>
      <c r="P26" s="125"/>
      <c r="Q26" s="125"/>
      <c r="R26" s="125"/>
      <c r="S26" s="125"/>
      <c r="T26" s="125"/>
      <c r="U26" s="125"/>
      <c r="V26" s="125"/>
      <c r="W26" s="125"/>
      <c r="X26" s="125"/>
      <c r="Y26" s="125"/>
      <c r="Z26" s="125"/>
      <c r="AA26" s="125"/>
      <c r="AB26" s="25"/>
      <c r="AC26" s="24"/>
      <c r="AD26" s="143"/>
      <c r="AE26" s="143"/>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19.75">
      <c r="A27" s="21"/>
      <c r="B27" s="21"/>
      <c r="C27" s="122" t="s">
        <v>26</v>
      </c>
      <c r="D27" s="122"/>
      <c r="E27" s="122"/>
      <c r="F27" s="24"/>
      <c r="G27" s="25"/>
      <c r="H27" s="25"/>
      <c r="I27" s="25"/>
      <c r="J27" s="25"/>
      <c r="K27" s="25"/>
      <c r="L27" s="25"/>
      <c r="N27" s="25"/>
      <c r="O27" s="25"/>
      <c r="Q27" s="25"/>
      <c r="R27" s="25"/>
      <c r="S27" s="25"/>
      <c r="T27" s="25"/>
      <c r="U27" s="25"/>
      <c r="V27" s="25"/>
      <c r="W27" s="25"/>
      <c r="X27" s="25"/>
      <c r="Y27" s="25"/>
      <c r="Z27" s="25"/>
      <c r="AA27" s="25"/>
      <c r="AB27" s="25"/>
      <c r="AC27" s="24"/>
      <c r="AD27" s="143"/>
      <c r="AE27" s="143"/>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25"/>
      <c r="H28" s="25"/>
      <c r="I28" s="25"/>
      <c r="J28" s="25"/>
      <c r="K28" s="25"/>
      <c r="L28" s="25"/>
      <c r="M28" s="25"/>
      <c r="N28" s="25"/>
      <c r="O28" s="25"/>
      <c r="P28" s="25" t="s">
        <v>275</v>
      </c>
      <c r="Q28" s="25"/>
      <c r="R28" s="25"/>
      <c r="S28" s="106">
        <f>COUNTA(Import!Q:Q)-1</f>
        <v>25</v>
      </c>
      <c r="T28" s="25"/>
      <c r="U28" s="25"/>
      <c r="V28" s="25"/>
      <c r="W28" s="25"/>
      <c r="X28" s="25"/>
      <c r="Y28" s="25"/>
      <c r="Z28" s="25"/>
      <c r="AA28" s="25"/>
      <c r="AB28" s="25"/>
      <c r="AC28" s="24"/>
      <c r="AD28" s="143"/>
      <c r="AE28" s="143"/>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25"/>
      <c r="H29" s="25"/>
      <c r="I29" s="25"/>
      <c r="J29" s="25"/>
      <c r="K29" s="25"/>
      <c r="L29" s="25"/>
      <c r="M29" s="25"/>
      <c r="N29" s="25"/>
      <c r="O29" s="25"/>
      <c r="P29" s="25"/>
      <c r="Q29" s="25"/>
      <c r="R29" s="25"/>
      <c r="S29" s="25"/>
      <c r="T29" s="25"/>
      <c r="U29" s="25"/>
      <c r="V29" s="25"/>
      <c r="W29" s="25"/>
      <c r="X29" s="25"/>
      <c r="Y29" s="25"/>
      <c r="Z29" s="25"/>
      <c r="AA29" s="25"/>
      <c r="AB29" s="25"/>
      <c r="AC29" s="24"/>
      <c r="AD29" s="143"/>
      <c r="AE29" s="143"/>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25"/>
      <c r="H30" s="25"/>
      <c r="I30" s="25"/>
      <c r="J30" s="25"/>
      <c r="K30" s="25"/>
      <c r="L30" s="25"/>
      <c r="M30" s="25"/>
      <c r="N30" s="25"/>
      <c r="O30" s="25"/>
      <c r="P30" s="25"/>
      <c r="Q30" s="25"/>
      <c r="R30" s="25"/>
      <c r="S30" s="25"/>
      <c r="T30" s="25"/>
      <c r="U30" s="25"/>
      <c r="V30" s="25"/>
      <c r="W30" s="25"/>
      <c r="X30" s="25"/>
      <c r="Y30" s="25"/>
      <c r="Z30" s="25"/>
      <c r="AA30" s="25"/>
      <c r="AB30" s="25"/>
      <c r="AC30" s="24"/>
      <c r="AD30" s="143"/>
      <c r="AE30" s="143"/>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25"/>
      <c r="H31" s="25"/>
      <c r="I31" s="25"/>
      <c r="J31" s="25"/>
      <c r="K31" s="25"/>
      <c r="L31" s="25"/>
      <c r="M31" s="25"/>
      <c r="N31" s="25"/>
      <c r="O31" s="25"/>
      <c r="P31" s="25"/>
      <c r="Q31" s="25"/>
      <c r="R31" s="25"/>
      <c r="S31" s="25"/>
      <c r="T31" s="25"/>
      <c r="U31" s="25"/>
      <c r="V31" s="25"/>
      <c r="W31" s="25"/>
      <c r="X31" s="25"/>
      <c r="Y31" s="25"/>
      <c r="Z31" s="25"/>
      <c r="AA31" s="25"/>
      <c r="AB31" s="25"/>
      <c r="AC31" s="24"/>
      <c r="AD31" s="143"/>
      <c r="AE31" s="143"/>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24"/>
      <c r="H32" s="24"/>
      <c r="I32" s="24"/>
      <c r="J32" s="24"/>
      <c r="K32" s="24"/>
      <c r="L32" s="24"/>
      <c r="M32" s="24"/>
      <c r="N32" s="24"/>
      <c r="O32" s="24"/>
      <c r="P32" s="24"/>
      <c r="Q32" s="24"/>
      <c r="R32" s="24"/>
      <c r="S32" s="24"/>
      <c r="T32" s="24"/>
      <c r="U32" s="24"/>
      <c r="V32" s="24"/>
      <c r="W32" s="24"/>
      <c r="X32" s="24"/>
      <c r="Y32" s="24"/>
      <c r="Z32" s="24"/>
      <c r="AA32" s="24"/>
      <c r="AB32" s="24"/>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25"/>
      <c r="H33" s="121" t="s">
        <v>59</v>
      </c>
      <c r="I33" s="121"/>
      <c r="J33" s="121"/>
      <c r="K33" s="25"/>
      <c r="L33" s="25"/>
      <c r="M33" s="25"/>
      <c r="N33" s="25"/>
      <c r="O33" s="25"/>
      <c r="P33" s="25"/>
      <c r="Q33" s="25"/>
      <c r="R33" s="25"/>
      <c r="S33" s="25"/>
      <c r="T33" s="25"/>
      <c r="U33" s="25"/>
      <c r="V33" s="25"/>
      <c r="W33" s="25"/>
      <c r="X33" s="25"/>
      <c r="Y33" s="25"/>
      <c r="Z33" s="25"/>
      <c r="AA33" s="25"/>
      <c r="AB33" s="25"/>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25"/>
      <c r="H34" s="121"/>
      <c r="I34" s="121"/>
      <c r="J34" s="121"/>
      <c r="K34" s="25"/>
      <c r="L34" s="25"/>
      <c r="M34" s="25"/>
      <c r="N34" s="25"/>
      <c r="O34" s="25"/>
      <c r="P34" s="25"/>
      <c r="Q34" s="25"/>
      <c r="R34" s="25"/>
      <c r="S34" s="25"/>
      <c r="T34" s="25"/>
      <c r="U34" s="25"/>
      <c r="V34" s="25"/>
      <c r="W34" s="25"/>
      <c r="X34" s="25"/>
      <c r="Y34" s="25"/>
      <c r="Z34" s="25"/>
      <c r="AA34" s="25"/>
      <c r="AB34" s="25"/>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25"/>
      <c r="H35" s="126" t="s">
        <v>60</v>
      </c>
      <c r="I35" s="126"/>
      <c r="J35" s="126"/>
      <c r="K35" s="126"/>
      <c r="L35" s="126"/>
      <c r="M35" s="126"/>
      <c r="N35" s="126"/>
      <c r="O35" s="126"/>
      <c r="P35" s="126"/>
      <c r="Q35" s="126"/>
      <c r="R35" s="126"/>
      <c r="S35" s="126"/>
      <c r="T35" s="126"/>
      <c r="U35" s="126"/>
      <c r="V35" s="126"/>
      <c r="W35" s="126"/>
      <c r="X35" s="126"/>
      <c r="Y35" s="126"/>
      <c r="Z35" s="126"/>
      <c r="AA35" s="126"/>
      <c r="AB35" s="25"/>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25"/>
      <c r="H36" s="126"/>
      <c r="I36" s="126"/>
      <c r="J36" s="126"/>
      <c r="K36" s="126"/>
      <c r="L36" s="126"/>
      <c r="M36" s="126"/>
      <c r="N36" s="126"/>
      <c r="O36" s="126"/>
      <c r="P36" s="126"/>
      <c r="Q36" s="126"/>
      <c r="R36" s="126"/>
      <c r="S36" s="126"/>
      <c r="T36" s="126"/>
      <c r="U36" s="126"/>
      <c r="V36" s="126"/>
      <c r="W36" s="126"/>
      <c r="X36" s="126"/>
      <c r="Y36" s="126"/>
      <c r="Z36" s="126"/>
      <c r="AA36" s="126"/>
      <c r="AB36" s="25"/>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25"/>
      <c r="H37" s="25"/>
      <c r="I37" s="25"/>
      <c r="J37" s="25"/>
      <c r="K37" s="25"/>
      <c r="L37" s="25"/>
      <c r="M37" s="25"/>
      <c r="N37" s="25"/>
      <c r="O37" s="25"/>
      <c r="P37" s="25"/>
      <c r="Q37" s="25"/>
      <c r="R37" s="25"/>
      <c r="S37" s="25"/>
      <c r="T37" s="25"/>
      <c r="U37" s="25"/>
      <c r="V37" s="25"/>
      <c r="W37" s="25"/>
      <c r="X37" s="25"/>
      <c r="Y37" s="25"/>
      <c r="Z37" s="25"/>
      <c r="AA37" s="25"/>
      <c r="AB37" s="25"/>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row>
    <row r="53" spans="1:82">
      <c r="A53" s="42"/>
    </row>
    <row r="54" spans="1:82">
      <c r="A54" s="42"/>
    </row>
    <row r="55" spans="1:82">
      <c r="A55" s="42"/>
      <c r="B55" s="127" t="s">
        <v>64</v>
      </c>
      <c r="C55" s="127"/>
      <c r="F55" s="127" t="s">
        <v>61</v>
      </c>
      <c r="G55" s="127"/>
      <c r="I55" s="127" t="s">
        <v>62</v>
      </c>
      <c r="J55" s="127"/>
      <c r="K55" s="127"/>
      <c r="L55" s="127"/>
      <c r="M55" s="127"/>
      <c r="N55" s="127"/>
      <c r="O55" s="127"/>
      <c r="P55" s="127"/>
      <c r="Q55" s="127"/>
      <c r="R55" s="127"/>
    </row>
    <row r="56" spans="1:82">
      <c r="A56" s="42"/>
      <c r="B56" s="129">
        <f>COUNTA(H23:AA23)</f>
        <v>0</v>
      </c>
      <c r="C56" s="130"/>
      <c r="F56" s="128" t="s">
        <v>63</v>
      </c>
      <c r="G56" s="128"/>
      <c r="I56" s="53" t="s">
        <v>48</v>
      </c>
      <c r="J56" s="53" t="s">
        <v>49</v>
      </c>
      <c r="K56" s="54" t="s">
        <v>50</v>
      </c>
      <c r="L56" s="53" t="s">
        <v>51</v>
      </c>
      <c r="M56" s="54" t="s">
        <v>52</v>
      </c>
      <c r="N56" s="53" t="s">
        <v>53</v>
      </c>
      <c r="O56" s="54" t="s">
        <v>54</v>
      </c>
      <c r="P56" s="53" t="s">
        <v>55</v>
      </c>
      <c r="Q56" s="53" t="s">
        <v>56</v>
      </c>
      <c r="R56" s="54" t="s">
        <v>57</v>
      </c>
    </row>
    <row r="57" spans="1:82">
      <c r="A57" s="42"/>
      <c r="F57" s="128"/>
      <c r="G57" s="128"/>
      <c r="I57">
        <f>H23</f>
        <v>0</v>
      </c>
      <c r="J57">
        <f>J23</f>
        <v>0</v>
      </c>
      <c r="K57">
        <f>L23</f>
        <v>0</v>
      </c>
      <c r="L57">
        <f>N23</f>
        <v>0</v>
      </c>
      <c r="M57">
        <f>P23</f>
        <v>0</v>
      </c>
      <c r="N57">
        <f>R23</f>
        <v>0</v>
      </c>
      <c r="O57">
        <f>T23</f>
        <v>0</v>
      </c>
      <c r="P57">
        <f>V23</f>
        <v>0</v>
      </c>
      <c r="Q57">
        <f>X23</f>
        <v>0</v>
      </c>
      <c r="R57">
        <f>Z23</f>
        <v>0</v>
      </c>
    </row>
    <row r="58" spans="1:82">
      <c r="A58" s="42"/>
    </row>
    <row r="59" spans="1:82">
      <c r="A59" s="42"/>
    </row>
    <row r="60" spans="1:82">
      <c r="A60" s="42"/>
    </row>
    <row r="61" spans="1:82">
      <c r="A61" s="42"/>
    </row>
    <row r="62" spans="1:82">
      <c r="A62" s="42"/>
    </row>
    <row r="63" spans="1:82">
      <c r="A63" s="42"/>
    </row>
    <row r="64" spans="1:82">
      <c r="A64" s="42"/>
    </row>
    <row r="65" spans="1:1">
      <c r="A65" s="42"/>
    </row>
    <row r="66" spans="1:1">
      <c r="A66" s="42"/>
    </row>
    <row r="67" spans="1:1">
      <c r="A67" s="42"/>
    </row>
    <row r="68" spans="1:1">
      <c r="A68" s="42"/>
    </row>
    <row r="69" spans="1:1">
      <c r="A69" s="42"/>
    </row>
    <row r="70" spans="1:1">
      <c r="A70" s="42"/>
    </row>
    <row r="71" spans="1:1">
      <c r="A71" s="42"/>
    </row>
    <row r="72" spans="1:1">
      <c r="A72" s="42"/>
    </row>
    <row r="73" spans="1:1">
      <c r="A73" s="42"/>
    </row>
    <row r="74" spans="1:1">
      <c r="A74" s="42"/>
    </row>
    <row r="75" spans="1:1">
      <c r="A75" s="42"/>
    </row>
    <row r="76" spans="1:1">
      <c r="A76" s="42"/>
    </row>
    <row r="77" spans="1:1">
      <c r="A77" s="42"/>
    </row>
    <row r="78" spans="1:1">
      <c r="A78" s="42"/>
    </row>
    <row r="79" spans="1:1">
      <c r="A79" s="42"/>
    </row>
    <row r="80" spans="1:1">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sheetData>
  <mergeCells count="70">
    <mergeCell ref="G2:I3"/>
    <mergeCell ref="C12:E12"/>
    <mergeCell ref="C15:E15"/>
    <mergeCell ref="C18:E18"/>
    <mergeCell ref="C21:E21"/>
    <mergeCell ref="C24:E24"/>
    <mergeCell ref="C27:E27"/>
    <mergeCell ref="R22:S22"/>
    <mergeCell ref="T22:U22"/>
    <mergeCell ref="H5:I6"/>
    <mergeCell ref="L13:M15"/>
    <mergeCell ref="N13:O15"/>
    <mergeCell ref="P13:Q15"/>
    <mergeCell ref="R13:S15"/>
    <mergeCell ref="T13:U15"/>
    <mergeCell ref="H24:I24"/>
    <mergeCell ref="J24:K24"/>
    <mergeCell ref="L24:M24"/>
    <mergeCell ref="N24:O24"/>
    <mergeCell ref="P24:Q24"/>
    <mergeCell ref="R24:S24"/>
    <mergeCell ref="AD5:AE31"/>
    <mergeCell ref="H7:AA10"/>
    <mergeCell ref="H12:I12"/>
    <mergeCell ref="J12:K12"/>
    <mergeCell ref="L12:M12"/>
    <mergeCell ref="N12:O12"/>
    <mergeCell ref="P12:Q12"/>
    <mergeCell ref="R12:S12"/>
    <mergeCell ref="T12:U12"/>
    <mergeCell ref="V22:W22"/>
    <mergeCell ref="X22:Y22"/>
    <mergeCell ref="V12:W12"/>
    <mergeCell ref="X12:Y12"/>
    <mergeCell ref="Z12:AA12"/>
    <mergeCell ref="H13:I15"/>
    <mergeCell ref="J13:K15"/>
    <mergeCell ref="N22:O22"/>
    <mergeCell ref="P22:Q22"/>
    <mergeCell ref="Z23:AA23"/>
    <mergeCell ref="V13:W15"/>
    <mergeCell ref="X13:Y15"/>
    <mergeCell ref="Z13:AA15"/>
    <mergeCell ref="H17:AA17"/>
    <mergeCell ref="H20:I21"/>
    <mergeCell ref="F56:G57"/>
    <mergeCell ref="B55:C55"/>
    <mergeCell ref="B56:C56"/>
    <mergeCell ref="Z22:AA22"/>
    <mergeCell ref="H23:I23"/>
    <mergeCell ref="J23:K23"/>
    <mergeCell ref="L23:M23"/>
    <mergeCell ref="N23:O23"/>
    <mergeCell ref="P23:Q23"/>
    <mergeCell ref="R23:S23"/>
    <mergeCell ref="T23:U23"/>
    <mergeCell ref="V23:W23"/>
    <mergeCell ref="X23:Y23"/>
    <mergeCell ref="H22:I22"/>
    <mergeCell ref="J22:K22"/>
    <mergeCell ref="L22:M22"/>
    <mergeCell ref="Z24:AA24"/>
    <mergeCell ref="H26:AA26"/>
    <mergeCell ref="H33:J34"/>
    <mergeCell ref="H35:AA36"/>
    <mergeCell ref="F55:G55"/>
    <mergeCell ref="I55:R55"/>
    <mergeCell ref="T24:U24"/>
    <mergeCell ref="V24:W24"/>
    <mergeCell ref="X24:Y24"/>
  </mergeCells>
  <conditionalFormatting sqref="H23:AA23">
    <cfRule type="expression" dxfId="20" priority="3">
      <formula>COUNTIF($H23:$AB23, H23)&gt;1</formula>
    </cfRule>
  </conditionalFormatting>
  <conditionalFormatting sqref="F56:G57">
    <cfRule type="expression" dxfId="19" priority="1">
      <formula>$B$56=10</formula>
    </cfRule>
  </conditionalFormatting>
  <dataValidations count="1">
    <dataValidation type="list" allowBlank="1" showInputMessage="1" showErrorMessage="1" errorTitle="Wrong image number" error="The capacity of the scale is 10. the image number should be less than or equal to 10." sqref="H23:AA23" xr:uid="{7E6F4561-BECC-47F8-9C3C-43B9F4622240}">
      <formula1>"1,2,3,4,5,6,7,8,9,10"</formula1>
    </dataValidation>
  </dataValidations>
  <hyperlinks>
    <hyperlink ref="C15" location="'Data recording'!G2" display="Data recording" xr:uid="{675C5F89-A4EC-4AFD-8D87-55F2A229015C}"/>
    <hyperlink ref="C18" location="'Composite scale'!G2" display="Composite scale" xr:uid="{F8016EBC-2E8D-4C31-8387-D4FB866B83B6}"/>
    <hyperlink ref="C21" location="Visulization!G2" display="Visulization" xr:uid="{A77439AD-1C45-4605-8DDE-EDB7D8FD5122}"/>
    <hyperlink ref="C24" location="Import!G2" display="Import data" xr:uid="{CEA2594D-66B2-465B-962A-A89B2BA48B17}"/>
    <hyperlink ref="C27" location="Subgroups!G2" display="Subgroups" xr:uid="{47B7A18B-55E7-401A-AE5B-DD1B08A7F57D}"/>
    <hyperlink ref="B2" location="Help!G2" display="Help" xr:uid="{138F8C9D-3C95-45A6-9D82-3A7C3AB2DCEC}"/>
  </hyperlink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iconSet" priority="2" id="{09FE87BA-C5FB-40C5-934E-EA2C050F5134}">
            <x14:iconSet iconSet="3Symbols2" showValue="0" custom="1">
              <x14:cfvo type="percent">
                <xm:f>0</xm:f>
              </x14:cfvo>
              <x14:cfvo type="percent">
                <xm:f>0</xm:f>
              </x14:cfvo>
              <x14:cfvo type="percent">
                <xm:f>1</xm:f>
              </x14:cfvo>
              <x14:cfIcon iconSet="NoIcons" iconId="0"/>
              <x14:cfIcon iconSet="NoIcons" iconId="0"/>
              <x14:cfIcon iconSet="3Symbols2" iconId="2"/>
            </x14:iconSet>
          </x14:cfRule>
          <xm:sqref>H24:AA24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56912-13DE-4707-877F-3C9E6E38AE5B}">
  <sheetPr codeName="Sheet8"/>
  <dimension ref="A1:CD170"/>
  <sheetViews>
    <sheetView zoomScale="97" zoomScaleNormal="97" workbookViewId="0">
      <selection activeCell="K25" sqref="K25:K26"/>
    </sheetView>
  </sheetViews>
  <sheetFormatPr defaultRowHeight="14.6"/>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30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ht="15" customHeight="1">
      <c r="A4" s="19"/>
      <c r="B4" s="21"/>
      <c r="C4" s="21"/>
      <c r="D4" s="21"/>
      <c r="E4" s="21"/>
      <c r="F4" s="24"/>
      <c r="G4" s="24"/>
      <c r="H4" s="24"/>
      <c r="I4" s="24"/>
      <c r="J4" s="49"/>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ht="15" customHeight="1">
      <c r="A5" s="19"/>
      <c r="B5" s="21"/>
      <c r="C5" s="21"/>
      <c r="D5" s="21"/>
      <c r="E5" s="21"/>
      <c r="F5" s="24"/>
      <c r="G5" s="25"/>
      <c r="H5" s="121" t="s">
        <v>23</v>
      </c>
      <c r="I5" s="121"/>
      <c r="J5" s="121"/>
      <c r="K5" s="25"/>
      <c r="L5" s="25"/>
      <c r="M5" s="25"/>
      <c r="N5" s="25"/>
      <c r="O5" s="25"/>
      <c r="P5" s="25"/>
      <c r="Q5" s="25"/>
      <c r="R5" s="25"/>
      <c r="S5" s="25"/>
      <c r="T5" s="25"/>
      <c r="U5" s="25"/>
      <c r="V5" s="25"/>
      <c r="W5" s="25"/>
      <c r="X5" s="25"/>
      <c r="Y5" s="25"/>
      <c r="Z5" s="25"/>
      <c r="AA5" s="25"/>
      <c r="AB5" s="25"/>
      <c r="AC5" s="24"/>
      <c r="AD5" s="142" t="s">
        <v>34</v>
      </c>
      <c r="AE5" s="143"/>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c r="A6" s="19"/>
      <c r="B6" s="21"/>
      <c r="C6" s="21"/>
      <c r="D6" s="21"/>
      <c r="E6" s="21"/>
      <c r="F6" s="24"/>
      <c r="G6" s="25"/>
      <c r="H6" s="121"/>
      <c r="I6" s="121"/>
      <c r="J6" s="121"/>
      <c r="K6" s="25"/>
      <c r="L6" s="25"/>
      <c r="M6" s="25"/>
      <c r="N6" s="25"/>
      <c r="O6" s="25"/>
      <c r="P6" s="25"/>
      <c r="Q6" s="25"/>
      <c r="R6" s="25"/>
      <c r="S6" s="25"/>
      <c r="T6" s="25"/>
      <c r="U6" s="25"/>
      <c r="V6" s="25"/>
      <c r="W6" s="25"/>
      <c r="X6" s="25"/>
      <c r="Y6" s="25"/>
      <c r="Z6" s="25"/>
      <c r="AA6" s="25"/>
      <c r="AB6" s="25"/>
      <c r="AC6" s="24"/>
      <c r="AD6" s="143"/>
      <c r="AE6" s="143"/>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ht="18.45">
      <c r="A7" s="21"/>
      <c r="B7" s="21"/>
      <c r="C7" s="21"/>
      <c r="D7" s="21"/>
      <c r="E7" s="21"/>
      <c r="F7" s="24"/>
      <c r="G7" s="25"/>
      <c r="H7" s="57"/>
      <c r="I7" s="57"/>
      <c r="J7" s="57"/>
      <c r="K7" s="57"/>
      <c r="L7" s="57"/>
      <c r="M7" s="57"/>
      <c r="N7" s="57"/>
      <c r="O7" s="57"/>
      <c r="P7" s="57"/>
      <c r="Q7" s="57"/>
      <c r="R7" s="57"/>
      <c r="S7" s="57"/>
      <c r="T7" s="57"/>
      <c r="U7" s="57"/>
      <c r="V7" s="57"/>
      <c r="W7" s="57"/>
      <c r="X7" s="57"/>
      <c r="Y7" s="57"/>
      <c r="Z7" s="57"/>
      <c r="AA7" s="57"/>
      <c r="AB7" s="25"/>
      <c r="AC7" s="24"/>
      <c r="AD7" s="143"/>
      <c r="AE7" s="143"/>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ht="20.6">
      <c r="A8" s="21"/>
      <c r="B8" s="21"/>
      <c r="C8" s="21"/>
      <c r="D8" s="21"/>
      <c r="E8" s="21"/>
      <c r="F8" s="24"/>
      <c r="G8" s="25"/>
      <c r="H8" s="145" t="s">
        <v>48</v>
      </c>
      <c r="I8" s="146"/>
      <c r="J8" s="147" t="s">
        <v>49</v>
      </c>
      <c r="K8" s="148"/>
      <c r="L8" s="149" t="s">
        <v>50</v>
      </c>
      <c r="M8" s="146"/>
      <c r="N8" s="147" t="s">
        <v>51</v>
      </c>
      <c r="O8" s="148"/>
      <c r="P8" s="149" t="s">
        <v>52</v>
      </c>
      <c r="Q8" s="146"/>
      <c r="R8" s="147" t="s">
        <v>53</v>
      </c>
      <c r="S8" s="148"/>
      <c r="T8" s="149" t="s">
        <v>54</v>
      </c>
      <c r="U8" s="146"/>
      <c r="V8" s="147" t="s">
        <v>55</v>
      </c>
      <c r="W8" s="148"/>
      <c r="X8" s="147" t="s">
        <v>56</v>
      </c>
      <c r="Y8" s="148"/>
      <c r="Z8" s="149" t="s">
        <v>57</v>
      </c>
      <c r="AA8" s="146"/>
      <c r="AB8" s="25"/>
      <c r="AC8" s="24"/>
      <c r="AD8" s="143"/>
      <c r="AE8" s="143"/>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c r="A9" s="21"/>
      <c r="B9" s="21"/>
      <c r="C9" s="21"/>
      <c r="D9" s="21"/>
      <c r="E9" s="21"/>
      <c r="F9" s="24"/>
      <c r="G9" s="25"/>
      <c r="H9" s="168">
        <f>IFERROR(MATCH([1]Import!AE68, [1]Import!$AR$74:$AR$83, 0),  MATCH([1]Import!AE68, [1]Import!$AS$74:$AS$83, 0))</f>
        <v>5</v>
      </c>
      <c r="I9" s="170"/>
      <c r="J9" s="164">
        <f>IFERROR(MATCH(Import!AF68, Import!$AR$74:$AR$83, 0),  MATCH(Import!AF68, Import!$AS$74:$AS$83, 0))</f>
        <v>1</v>
      </c>
      <c r="K9" s="165"/>
      <c r="L9" s="168">
        <f>IFERROR(MATCH(Import!AG68, Import!$AR$74:$AR$83, 0),  MATCH(Import!AG68, Import!$AS$74:$AS$83, 0))</f>
        <v>3</v>
      </c>
      <c r="M9" s="169"/>
      <c r="N9" s="164">
        <f>IFERROR(MATCH(Import!AH68, Import!$AR$74:$AR$83, 0),  MATCH(Import!AH68, Import!$AS$74:$AS$83, 0))</f>
        <v>4</v>
      </c>
      <c r="O9" s="165"/>
      <c r="P9" s="168">
        <f>IFERROR(MATCH(Import!AI68, Import!$AR$74:$AR$83, 0),  MATCH(Import!AI68, Import!$AS$74:$AS$83, 0))</f>
        <v>2</v>
      </c>
      <c r="Q9" s="169"/>
      <c r="R9" s="164">
        <f>IFERROR(MATCH(Import!AJ68, Import!$AR$74:$AR$83, 0),  MATCH(Import!AJ68, Import!$AS$74:$AS$83, 0))</f>
        <v>6</v>
      </c>
      <c r="S9" s="165"/>
      <c r="T9" s="168">
        <f>IFERROR(MATCH(Import!AK68, Import!$AR$74:$AR$83, 0),  MATCH(Import!AK68, Import!$AS$74:$AS$83, 0))</f>
        <v>7</v>
      </c>
      <c r="U9" s="169"/>
      <c r="V9" s="164">
        <f>IFERROR(MATCH(Import!AL68, Import!$AR$74:$AR$83, 0),  MATCH(Import!AL68, Import!$AS$74:$AS$83, 0))</f>
        <v>8</v>
      </c>
      <c r="W9" s="165"/>
      <c r="X9" s="164">
        <f>IFERROR(MATCH(Import!AM68, Import!$AR$74:$AR$83, 0),  MATCH(Import!AM68, Import!$AS$74:$AS$83, 0))</f>
        <v>9</v>
      </c>
      <c r="Y9" s="165"/>
      <c r="Z9" s="168">
        <f>IFERROR(MATCH(Import!AN68, Import!$AR$74:$AR$83, 0),  MATCH(Import!AN68, Import!$AS$74:$AS$83, 0))</f>
        <v>10</v>
      </c>
      <c r="AA9" s="169"/>
      <c r="AB9" s="25"/>
      <c r="AC9" s="24"/>
      <c r="AD9" s="143"/>
      <c r="AE9" s="143"/>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c r="A10" s="21"/>
      <c r="B10" s="21"/>
      <c r="C10" s="21"/>
      <c r="D10" s="21"/>
      <c r="E10" s="21"/>
      <c r="F10" s="24"/>
      <c r="G10" s="25"/>
      <c r="H10" s="166"/>
      <c r="I10" s="171"/>
      <c r="J10" s="166"/>
      <c r="K10" s="167"/>
      <c r="L10" s="166"/>
      <c r="M10" s="167"/>
      <c r="N10" s="166"/>
      <c r="O10" s="167"/>
      <c r="P10" s="166"/>
      <c r="Q10" s="167"/>
      <c r="R10" s="166"/>
      <c r="S10" s="167"/>
      <c r="T10" s="166"/>
      <c r="U10" s="167"/>
      <c r="V10" s="166"/>
      <c r="W10" s="167"/>
      <c r="X10" s="166"/>
      <c r="Y10" s="167"/>
      <c r="Z10" s="166"/>
      <c r="AA10" s="167"/>
      <c r="AB10" s="25"/>
      <c r="AC10" s="24"/>
      <c r="AD10" s="143"/>
      <c r="AE10" s="143"/>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c r="A11" s="26"/>
      <c r="B11" s="27"/>
      <c r="C11" s="27"/>
      <c r="D11" s="27"/>
      <c r="E11" s="28"/>
      <c r="F11" s="24"/>
      <c r="G11" s="25"/>
      <c r="H11" s="25"/>
      <c r="I11" s="25"/>
      <c r="J11" s="25"/>
      <c r="K11" s="25"/>
      <c r="L11" s="25"/>
      <c r="M11" s="25"/>
      <c r="N11" s="25"/>
      <c r="O11" s="25"/>
      <c r="P11" s="25"/>
      <c r="Q11" s="25"/>
      <c r="R11" s="25"/>
      <c r="S11" s="25"/>
      <c r="T11" s="25"/>
      <c r="U11" s="25"/>
      <c r="V11" s="25"/>
      <c r="W11" s="25"/>
      <c r="X11" s="25"/>
      <c r="Y11" s="25"/>
      <c r="Z11" s="25"/>
      <c r="AA11" s="25"/>
      <c r="AB11" s="25"/>
      <c r="AC11" s="24"/>
      <c r="AD11" s="143"/>
      <c r="AE11" s="143"/>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0.6">
      <c r="A12" s="29"/>
      <c r="B12" s="30"/>
      <c r="C12" s="119" t="s">
        <v>19</v>
      </c>
      <c r="D12" s="119"/>
      <c r="E12" s="120"/>
      <c r="F12" s="24"/>
      <c r="G12" s="25"/>
      <c r="H12" s="172" t="s">
        <v>65</v>
      </c>
      <c r="I12" s="172"/>
      <c r="J12" s="172"/>
      <c r="K12" s="172"/>
      <c r="L12" s="172"/>
      <c r="M12" s="172"/>
      <c r="N12" s="172"/>
      <c r="O12" s="172"/>
      <c r="P12" s="172"/>
      <c r="Q12" s="172"/>
      <c r="R12" s="172"/>
      <c r="S12" s="172"/>
      <c r="T12" s="172"/>
      <c r="U12" s="172"/>
      <c r="V12" s="172"/>
      <c r="W12" s="172"/>
      <c r="X12" s="172"/>
      <c r="Y12" s="172"/>
      <c r="Z12" s="172"/>
      <c r="AA12" s="172"/>
      <c r="AB12" s="25"/>
      <c r="AC12" s="24"/>
      <c r="AD12" s="143"/>
      <c r="AE12" s="143"/>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0.6">
      <c r="A13" s="31"/>
      <c r="B13" s="32"/>
      <c r="C13" s="33"/>
      <c r="D13" s="32"/>
      <c r="E13" s="34"/>
      <c r="F13" s="24"/>
      <c r="G13" s="25"/>
      <c r="H13" s="25"/>
      <c r="I13" s="25"/>
      <c r="J13" s="25"/>
      <c r="K13" s="25"/>
      <c r="L13" s="25"/>
      <c r="M13" s="25"/>
      <c r="N13" s="25"/>
      <c r="O13" s="25"/>
      <c r="P13" s="25"/>
      <c r="Q13" s="25"/>
      <c r="R13" s="25"/>
      <c r="S13" s="25"/>
      <c r="T13" s="25"/>
      <c r="U13" s="25"/>
      <c r="V13" s="25"/>
      <c r="W13" s="25"/>
      <c r="X13" s="25"/>
      <c r="Y13" s="25"/>
      <c r="Z13" s="25"/>
      <c r="AA13" s="25"/>
      <c r="AB13" s="25"/>
      <c r="AC13" s="24"/>
      <c r="AD13" s="143"/>
      <c r="AE13" s="143"/>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36"/>
      <c r="D14" s="21"/>
      <c r="E14" s="21"/>
      <c r="F14" s="24"/>
      <c r="G14" s="25"/>
      <c r="H14" s="161" t="s">
        <v>66</v>
      </c>
      <c r="I14" s="161"/>
      <c r="J14" s="159" t="s">
        <v>67</v>
      </c>
      <c r="K14" s="160"/>
      <c r="L14" s="161" t="s">
        <v>68</v>
      </c>
      <c r="M14" s="161"/>
      <c r="N14" s="159" t="s">
        <v>69</v>
      </c>
      <c r="O14" s="160"/>
      <c r="P14" s="161" t="s">
        <v>70</v>
      </c>
      <c r="Q14" s="161"/>
      <c r="R14" s="159" t="s">
        <v>71</v>
      </c>
      <c r="S14" s="160"/>
      <c r="T14" s="161" t="s">
        <v>72</v>
      </c>
      <c r="U14" s="161"/>
      <c r="V14" s="159" t="s">
        <v>73</v>
      </c>
      <c r="W14" s="160"/>
      <c r="X14" s="159" t="s">
        <v>74</v>
      </c>
      <c r="Y14" s="160"/>
      <c r="Z14" s="161" t="s">
        <v>75</v>
      </c>
      <c r="AA14" s="161"/>
      <c r="AB14" s="25"/>
      <c r="AC14" s="24"/>
      <c r="AD14" s="143"/>
      <c r="AE14" s="143"/>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22" t="s">
        <v>21</v>
      </c>
      <c r="D15" s="122"/>
      <c r="E15" s="122"/>
      <c r="F15" s="24"/>
      <c r="G15" s="25"/>
      <c r="H15" s="162">
        <f>Import!$AR74</f>
        <v>2</v>
      </c>
      <c r="I15" s="163"/>
      <c r="J15" s="162">
        <f>Import!$AR75</f>
        <v>5</v>
      </c>
      <c r="K15" s="163"/>
      <c r="L15" s="162">
        <f>Import!$AR76</f>
        <v>3</v>
      </c>
      <c r="M15" s="163"/>
      <c r="N15" s="162">
        <f>Import!$AR77</f>
        <v>4</v>
      </c>
      <c r="O15" s="163"/>
      <c r="P15" s="162">
        <f>Import!$AR78</f>
        <v>1</v>
      </c>
      <c r="Q15" s="163"/>
      <c r="R15" s="162">
        <f>Import!$AR79</f>
        <v>6</v>
      </c>
      <c r="S15" s="163"/>
      <c r="T15" s="162">
        <f>Import!$AR80</f>
        <v>7</v>
      </c>
      <c r="U15" s="163"/>
      <c r="V15" s="162">
        <f>Import!$AR81</f>
        <v>8</v>
      </c>
      <c r="W15" s="163"/>
      <c r="X15" s="162">
        <f>Import!$AR82</f>
        <v>9</v>
      </c>
      <c r="Y15" s="163"/>
      <c r="Z15" s="162">
        <f>Import!$AR83</f>
        <v>10</v>
      </c>
      <c r="AA15" s="163"/>
      <c r="AB15" s="25"/>
      <c r="AC15" s="24"/>
      <c r="AD15" s="143"/>
      <c r="AE15" s="143"/>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44"/>
      <c r="D16" s="44"/>
      <c r="E16" s="44"/>
      <c r="F16" s="24"/>
      <c r="G16" s="25"/>
      <c r="H16" s="25"/>
      <c r="I16" s="25"/>
      <c r="J16" s="25"/>
      <c r="K16" s="25"/>
      <c r="L16" s="25"/>
      <c r="M16" s="25"/>
      <c r="N16" s="25"/>
      <c r="O16" s="25"/>
      <c r="P16" s="25"/>
      <c r="Q16" s="25"/>
      <c r="R16" s="25"/>
      <c r="S16" s="25"/>
      <c r="T16" s="25"/>
      <c r="U16" s="25"/>
      <c r="V16" s="25"/>
      <c r="W16" s="25"/>
      <c r="X16" s="25"/>
      <c r="Y16" s="25"/>
      <c r="Z16" s="25"/>
      <c r="AA16" s="25"/>
      <c r="AB16" s="25"/>
      <c r="AC16" s="24"/>
      <c r="AD16" s="143"/>
      <c r="AE16" s="143"/>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44"/>
      <c r="D17" s="44"/>
      <c r="E17" s="44"/>
      <c r="F17" s="24"/>
      <c r="G17" s="24"/>
      <c r="H17" s="59"/>
      <c r="I17" s="60"/>
      <c r="J17" s="60"/>
      <c r="K17" s="60"/>
      <c r="L17" s="60"/>
      <c r="M17" s="60"/>
      <c r="N17" s="60"/>
      <c r="O17" s="60"/>
      <c r="P17" s="60"/>
      <c r="Q17" s="60"/>
      <c r="R17" s="60"/>
      <c r="S17" s="60"/>
      <c r="T17" s="60"/>
      <c r="U17" s="60"/>
      <c r="V17" s="60"/>
      <c r="W17" s="60"/>
      <c r="X17" s="60"/>
      <c r="Y17" s="60"/>
      <c r="Z17" s="60"/>
      <c r="AA17" s="60"/>
      <c r="AB17" s="24"/>
      <c r="AC17" s="24"/>
      <c r="AD17" s="143"/>
      <c r="AE17" s="143"/>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20.6">
      <c r="A18" s="21"/>
      <c r="B18" s="21"/>
      <c r="C18" s="122" t="s">
        <v>23</v>
      </c>
      <c r="D18" s="122"/>
      <c r="E18" s="122"/>
      <c r="F18" s="24"/>
      <c r="G18" s="25"/>
      <c r="H18" s="153" t="s">
        <v>76</v>
      </c>
      <c r="I18" s="153"/>
      <c r="J18" s="153"/>
      <c r="K18" s="153"/>
      <c r="L18" s="25"/>
      <c r="M18" s="24"/>
      <c r="N18" s="25"/>
      <c r="O18" s="121" t="s">
        <v>77</v>
      </c>
      <c r="P18" s="121"/>
      <c r="Q18" s="121"/>
      <c r="R18" s="121"/>
      <c r="S18" s="25"/>
      <c r="T18" s="25"/>
      <c r="U18" s="25"/>
      <c r="V18" s="25"/>
      <c r="W18" s="25"/>
      <c r="X18" s="25"/>
      <c r="Y18" s="24"/>
      <c r="Z18" s="61"/>
      <c r="AA18" s="61"/>
      <c r="AB18" s="61"/>
      <c r="AC18" s="24"/>
      <c r="AD18" s="143"/>
      <c r="AE18" s="143"/>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20.6">
      <c r="A19" s="21"/>
      <c r="B19" s="21"/>
      <c r="C19" s="44"/>
      <c r="D19" s="44"/>
      <c r="E19" s="44"/>
      <c r="F19" s="24"/>
      <c r="G19" s="25"/>
      <c r="H19" s="153"/>
      <c r="I19" s="153"/>
      <c r="J19" s="153"/>
      <c r="K19" s="153"/>
      <c r="L19" s="25"/>
      <c r="M19" s="24"/>
      <c r="N19" s="25"/>
      <c r="O19" s="121"/>
      <c r="P19" s="121"/>
      <c r="Q19" s="121"/>
      <c r="R19" s="121"/>
      <c r="S19" s="25"/>
      <c r="T19" s="25"/>
      <c r="U19" s="25"/>
      <c r="V19" s="25"/>
      <c r="W19" s="25"/>
      <c r="X19" s="25"/>
      <c r="Y19" s="24"/>
      <c r="Z19" s="61"/>
      <c r="AA19" s="61"/>
      <c r="AB19" s="61"/>
      <c r="AC19" s="24"/>
      <c r="AD19" s="143"/>
      <c r="AE19" s="143"/>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20.25" customHeight="1">
      <c r="A20" s="21"/>
      <c r="B20" s="21"/>
      <c r="C20" s="44"/>
      <c r="D20" s="44"/>
      <c r="E20" s="44"/>
      <c r="F20" s="24"/>
      <c r="G20" s="25"/>
      <c r="H20" s="156">
        <f>Import!AG88</f>
        <v>6</v>
      </c>
      <c r="I20" s="156"/>
      <c r="J20" s="157" t="s">
        <v>78</v>
      </c>
      <c r="K20" s="157"/>
      <c r="L20" s="25"/>
      <c r="M20" s="24"/>
      <c r="N20" s="25"/>
      <c r="O20" s="152" t="s">
        <v>79</v>
      </c>
      <c r="P20" s="152"/>
      <c r="Q20" s="151" t="s">
        <v>80</v>
      </c>
      <c r="R20" s="151"/>
      <c r="S20" s="151"/>
      <c r="T20" s="151"/>
      <c r="U20" s="151"/>
      <c r="V20" s="151"/>
      <c r="W20" s="151"/>
      <c r="X20" s="151"/>
      <c r="Y20" s="24"/>
      <c r="Z20" s="62"/>
      <c r="AA20" s="62"/>
      <c r="AB20" s="62"/>
      <c r="AC20" s="24"/>
      <c r="AD20" s="143"/>
      <c r="AE20" s="143"/>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20.25" customHeight="1">
      <c r="A21" s="21"/>
      <c r="B21" s="21"/>
      <c r="C21" s="122" t="s">
        <v>24</v>
      </c>
      <c r="D21" s="122"/>
      <c r="E21" s="122"/>
      <c r="F21" s="24"/>
      <c r="G21" s="25"/>
      <c r="H21" s="156"/>
      <c r="I21" s="156"/>
      <c r="J21" s="157"/>
      <c r="K21" s="157"/>
      <c r="L21" s="50"/>
      <c r="M21" s="63"/>
      <c r="N21" s="50"/>
      <c r="O21" s="64"/>
      <c r="P21" s="65"/>
      <c r="Q21" s="151"/>
      <c r="R21" s="151"/>
      <c r="S21" s="151"/>
      <c r="T21" s="151"/>
      <c r="U21" s="151"/>
      <c r="V21" s="151"/>
      <c r="W21" s="151"/>
      <c r="X21" s="151"/>
      <c r="Y21" s="63"/>
      <c r="Z21" s="62"/>
      <c r="AA21" s="62"/>
      <c r="AB21" s="62"/>
      <c r="AC21" s="24"/>
      <c r="AD21" s="143"/>
      <c r="AE21" s="143"/>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44"/>
      <c r="D22" s="44"/>
      <c r="E22" s="44"/>
      <c r="F22" s="24"/>
      <c r="G22" s="25"/>
      <c r="H22" s="156"/>
      <c r="I22" s="156"/>
      <c r="J22" s="157"/>
      <c r="K22" s="157"/>
      <c r="L22" s="66"/>
      <c r="M22" s="67"/>
      <c r="N22" s="66"/>
      <c r="O22" s="158" t="s">
        <v>81</v>
      </c>
      <c r="P22" s="158"/>
      <c r="Q22" s="151" t="s">
        <v>82</v>
      </c>
      <c r="R22" s="151"/>
      <c r="S22" s="151"/>
      <c r="T22" s="151"/>
      <c r="U22" s="151"/>
      <c r="V22" s="151"/>
      <c r="W22" s="151"/>
      <c r="X22" s="151"/>
      <c r="Y22" s="67"/>
      <c r="Z22" s="62"/>
      <c r="AA22" s="62"/>
      <c r="AB22" s="62"/>
      <c r="AC22" s="24"/>
      <c r="AD22" s="143"/>
      <c r="AE22" s="143"/>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23.15">
      <c r="A23" s="21"/>
      <c r="B23" s="21"/>
      <c r="C23" s="44"/>
      <c r="D23" s="44"/>
      <c r="E23" s="44"/>
      <c r="F23" s="24"/>
      <c r="G23" s="25"/>
      <c r="H23" s="156"/>
      <c r="I23" s="156"/>
      <c r="J23" s="157"/>
      <c r="K23" s="157"/>
      <c r="L23" s="68"/>
      <c r="M23" s="69"/>
      <c r="N23" s="68"/>
      <c r="O23" s="70"/>
      <c r="P23" s="70"/>
      <c r="Q23" s="151"/>
      <c r="R23" s="151"/>
      <c r="S23" s="151"/>
      <c r="T23" s="151"/>
      <c r="U23" s="151"/>
      <c r="V23" s="151"/>
      <c r="W23" s="151"/>
      <c r="X23" s="151"/>
      <c r="Y23" s="69"/>
      <c r="Z23" s="62"/>
      <c r="AA23" s="62"/>
      <c r="AB23" s="62"/>
      <c r="AC23" s="24"/>
      <c r="AD23" s="143"/>
      <c r="AE23" s="143"/>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23.15">
      <c r="A24" s="21"/>
      <c r="B24" s="21"/>
      <c r="C24" s="122" t="s">
        <v>25</v>
      </c>
      <c r="D24" s="122"/>
      <c r="E24" s="122"/>
      <c r="F24" s="24"/>
      <c r="G24" s="25"/>
      <c r="H24" s="156"/>
      <c r="I24" s="156"/>
      <c r="J24" s="157"/>
      <c r="K24" s="157"/>
      <c r="L24" s="71"/>
      <c r="M24" s="72"/>
      <c r="N24" s="71"/>
      <c r="O24" s="152" t="s">
        <v>83</v>
      </c>
      <c r="P24" s="152"/>
      <c r="Q24" s="151" t="s">
        <v>84</v>
      </c>
      <c r="R24" s="151"/>
      <c r="S24" s="151"/>
      <c r="T24" s="151"/>
      <c r="U24" s="151"/>
      <c r="V24" s="151"/>
      <c r="W24" s="151"/>
      <c r="X24" s="151"/>
      <c r="Y24" s="47"/>
      <c r="Z24" s="153" t="s">
        <v>24</v>
      </c>
      <c r="AA24" s="153"/>
      <c r="AB24" s="153"/>
      <c r="AC24" s="24"/>
      <c r="AD24" s="143"/>
      <c r="AE24" s="143"/>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20.149999999999999">
      <c r="A25" s="21"/>
      <c r="B25" s="21"/>
      <c r="C25" s="44"/>
      <c r="D25" s="44"/>
      <c r="E25" s="44"/>
      <c r="F25" s="24"/>
      <c r="G25" s="25"/>
      <c r="H25" s="154" t="s">
        <v>85</v>
      </c>
      <c r="I25" s="155" t="s">
        <v>86</v>
      </c>
      <c r="J25" s="155"/>
      <c r="K25" s="154" t="s">
        <v>87</v>
      </c>
      <c r="L25" s="25"/>
      <c r="M25" s="24"/>
      <c r="N25" s="25"/>
      <c r="O25" s="73"/>
      <c r="P25" s="73"/>
      <c r="Q25" s="151"/>
      <c r="R25" s="151"/>
      <c r="S25" s="151"/>
      <c r="T25" s="151"/>
      <c r="U25" s="151"/>
      <c r="V25" s="151"/>
      <c r="W25" s="151"/>
      <c r="X25" s="151"/>
      <c r="Y25" s="47"/>
      <c r="Z25" s="153"/>
      <c r="AA25" s="153"/>
      <c r="AB25" s="153"/>
      <c r="AC25" s="24"/>
      <c r="AD25" s="143"/>
      <c r="AE25" s="143"/>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20.149999999999999">
      <c r="A26" s="21"/>
      <c r="B26" s="21"/>
      <c r="C26" s="44"/>
      <c r="D26" s="44"/>
      <c r="E26" s="44"/>
      <c r="F26" s="24"/>
      <c r="G26" s="25"/>
      <c r="H26" s="154"/>
      <c r="I26" s="155"/>
      <c r="J26" s="155"/>
      <c r="K26" s="154"/>
      <c r="L26" s="25"/>
      <c r="M26" s="24"/>
      <c r="N26" s="25"/>
      <c r="O26" s="152" t="s">
        <v>88</v>
      </c>
      <c r="P26" s="152"/>
      <c r="Q26" s="151" t="s">
        <v>89</v>
      </c>
      <c r="R26" s="151"/>
      <c r="S26" s="151"/>
      <c r="T26" s="151"/>
      <c r="U26" s="151"/>
      <c r="V26" s="151"/>
      <c r="W26" s="151"/>
      <c r="X26" s="151"/>
      <c r="Y26" s="24"/>
      <c r="Z26" s="62"/>
      <c r="AA26" s="62"/>
      <c r="AB26" s="62"/>
      <c r="AC26" s="24"/>
      <c r="AD26" s="143"/>
      <c r="AE26" s="143"/>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26.15">
      <c r="A27" s="21"/>
      <c r="B27" s="21"/>
      <c r="C27" s="122" t="s">
        <v>26</v>
      </c>
      <c r="D27" s="122"/>
      <c r="E27" s="122"/>
      <c r="F27" s="24"/>
      <c r="G27" s="25"/>
      <c r="H27" s="74"/>
      <c r="I27" s="74"/>
      <c r="J27" s="74"/>
      <c r="K27" s="74"/>
      <c r="L27" s="25"/>
      <c r="M27" s="24"/>
      <c r="N27" s="25"/>
      <c r="O27" s="25"/>
      <c r="P27" s="25"/>
      <c r="Q27" s="151"/>
      <c r="R27" s="151"/>
      <c r="S27" s="151"/>
      <c r="T27" s="151"/>
      <c r="U27" s="151"/>
      <c r="V27" s="151"/>
      <c r="W27" s="151"/>
      <c r="X27" s="151"/>
      <c r="Y27" s="24"/>
      <c r="Z27" s="62"/>
      <c r="AA27" s="62"/>
      <c r="AB27" s="62"/>
      <c r="AC27" s="24"/>
      <c r="AD27" s="143"/>
      <c r="AE27" s="143"/>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24"/>
      <c r="H28" s="24"/>
      <c r="I28" s="24"/>
      <c r="J28" s="24"/>
      <c r="K28" s="24"/>
      <c r="L28" s="24"/>
      <c r="M28" s="24"/>
      <c r="N28" s="24"/>
      <c r="O28" s="24"/>
      <c r="P28" s="24"/>
      <c r="Q28" s="24"/>
      <c r="R28" s="24"/>
      <c r="S28" s="24"/>
      <c r="T28" s="24"/>
      <c r="U28" s="24"/>
      <c r="V28" s="24"/>
      <c r="W28" s="24"/>
      <c r="X28" s="24"/>
      <c r="Y28" s="24"/>
      <c r="Z28" s="25"/>
      <c r="AA28" s="25"/>
      <c r="AB28" s="25"/>
      <c r="AC28" s="24"/>
      <c r="AD28" s="143"/>
      <c r="AE28" s="143"/>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25"/>
      <c r="H29" s="115" t="s">
        <v>90</v>
      </c>
      <c r="I29" s="115"/>
      <c r="J29" s="115"/>
      <c r="K29" s="25"/>
      <c r="L29" s="25"/>
      <c r="M29" s="25"/>
      <c r="N29" s="25"/>
      <c r="O29" s="25"/>
      <c r="P29" s="25"/>
      <c r="Q29" s="25"/>
      <c r="R29" s="25"/>
      <c r="S29" s="25"/>
      <c r="T29" s="25"/>
      <c r="U29" s="25"/>
      <c r="V29" s="25"/>
      <c r="W29" s="25"/>
      <c r="X29" s="25"/>
      <c r="Y29" s="24"/>
      <c r="Z29" s="25"/>
      <c r="AA29" s="25"/>
      <c r="AB29" s="25"/>
      <c r="AC29" s="24"/>
      <c r="AD29" s="143"/>
      <c r="AE29" s="143"/>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25"/>
      <c r="H30" s="115"/>
      <c r="I30" s="115"/>
      <c r="J30" s="115"/>
      <c r="K30" s="25"/>
      <c r="L30" s="25"/>
      <c r="M30" s="25"/>
      <c r="N30" s="25"/>
      <c r="O30" s="25"/>
      <c r="P30" s="25"/>
      <c r="Q30" s="25"/>
      <c r="R30" s="25"/>
      <c r="S30" s="25"/>
      <c r="T30" s="25"/>
      <c r="U30" s="25"/>
      <c r="V30" s="25"/>
      <c r="W30" s="25"/>
      <c r="X30" s="25"/>
      <c r="Y30" s="24"/>
      <c r="Z30" s="25"/>
      <c r="AA30" s="25"/>
      <c r="AB30" s="25"/>
      <c r="AC30" s="24"/>
      <c r="AD30" s="143"/>
      <c r="AE30" s="143"/>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25"/>
      <c r="H31" s="113" t="s">
        <v>91</v>
      </c>
      <c r="I31" s="113"/>
      <c r="J31" s="113"/>
      <c r="K31" s="113"/>
      <c r="L31" s="113"/>
      <c r="M31" s="113"/>
      <c r="N31" s="113"/>
      <c r="O31" s="113"/>
      <c r="P31" s="113"/>
      <c r="Q31" s="113"/>
      <c r="R31" s="113"/>
      <c r="S31" s="113"/>
      <c r="T31" s="113"/>
      <c r="U31" s="113"/>
      <c r="V31" s="113"/>
      <c r="W31" s="113"/>
      <c r="X31" s="25"/>
      <c r="Y31" s="24"/>
      <c r="Z31" s="25"/>
      <c r="AA31" s="25"/>
      <c r="AB31" s="25"/>
      <c r="AC31" s="24"/>
      <c r="AD31" s="143"/>
      <c r="AE31" s="143"/>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25"/>
      <c r="H32" s="113"/>
      <c r="I32" s="113"/>
      <c r="J32" s="113"/>
      <c r="K32" s="113"/>
      <c r="L32" s="113"/>
      <c r="M32" s="113"/>
      <c r="N32" s="113"/>
      <c r="O32" s="113"/>
      <c r="P32" s="113"/>
      <c r="Q32" s="113"/>
      <c r="R32" s="113"/>
      <c r="S32" s="113"/>
      <c r="T32" s="113"/>
      <c r="U32" s="113"/>
      <c r="V32" s="113"/>
      <c r="W32" s="113"/>
      <c r="X32" s="25"/>
      <c r="Y32" s="24"/>
      <c r="Z32" s="25"/>
      <c r="AA32" s="25"/>
      <c r="AB32" s="25"/>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25"/>
      <c r="H33" s="113"/>
      <c r="I33" s="113"/>
      <c r="J33" s="113"/>
      <c r="K33" s="113"/>
      <c r="L33" s="113"/>
      <c r="M33" s="113"/>
      <c r="N33" s="113"/>
      <c r="O33" s="113"/>
      <c r="P33" s="113"/>
      <c r="Q33" s="113"/>
      <c r="R33" s="113"/>
      <c r="S33" s="113"/>
      <c r="T33" s="113"/>
      <c r="U33" s="113"/>
      <c r="V33" s="113"/>
      <c r="W33" s="113"/>
      <c r="X33" s="25"/>
      <c r="Y33" s="24"/>
      <c r="Z33" s="25"/>
      <c r="AA33" s="25"/>
      <c r="AB33" s="25"/>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25"/>
      <c r="H34" s="113"/>
      <c r="I34" s="113"/>
      <c r="J34" s="113"/>
      <c r="K34" s="113"/>
      <c r="L34" s="113"/>
      <c r="M34" s="113"/>
      <c r="N34" s="113"/>
      <c r="O34" s="113"/>
      <c r="P34" s="113"/>
      <c r="Q34" s="113"/>
      <c r="R34" s="113"/>
      <c r="S34" s="113"/>
      <c r="T34" s="113"/>
      <c r="U34" s="113"/>
      <c r="V34" s="113"/>
      <c r="W34" s="113"/>
      <c r="X34" s="25"/>
      <c r="Y34" s="24"/>
      <c r="Z34" s="25"/>
      <c r="AA34" s="25"/>
      <c r="AB34" s="25"/>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25"/>
      <c r="H35" s="113"/>
      <c r="I35" s="113"/>
      <c r="J35" s="113"/>
      <c r="K35" s="113"/>
      <c r="L35" s="113"/>
      <c r="M35" s="113"/>
      <c r="N35" s="113"/>
      <c r="O35" s="113"/>
      <c r="P35" s="113"/>
      <c r="Q35" s="113"/>
      <c r="R35" s="113"/>
      <c r="S35" s="113"/>
      <c r="T35" s="113"/>
      <c r="U35" s="113"/>
      <c r="V35" s="113"/>
      <c r="W35" s="113"/>
      <c r="X35" s="25"/>
      <c r="Y35" s="24"/>
      <c r="Z35" s="25"/>
      <c r="AA35" s="25"/>
      <c r="AB35" s="25"/>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25"/>
      <c r="H36" s="25"/>
      <c r="I36" s="25"/>
      <c r="J36" s="25"/>
      <c r="K36" s="25"/>
      <c r="L36" s="25"/>
      <c r="M36" s="25"/>
      <c r="N36" s="25"/>
      <c r="O36" s="25"/>
      <c r="P36" s="25"/>
      <c r="Q36" s="25"/>
      <c r="R36" s="25"/>
      <c r="S36" s="25"/>
      <c r="T36" s="25"/>
      <c r="U36" s="25"/>
      <c r="V36" s="25"/>
      <c r="W36" s="25"/>
      <c r="X36" s="25"/>
      <c r="Y36" s="24"/>
      <c r="Z36" s="25"/>
      <c r="AA36" s="25"/>
      <c r="AB36" s="25"/>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row>
    <row r="53" spans="1:82">
      <c r="A53" s="42"/>
    </row>
    <row r="54" spans="1:82">
      <c r="A54" s="42"/>
    </row>
    <row r="55" spans="1:82">
      <c r="A55" s="42"/>
    </row>
    <row r="56" spans="1:82">
      <c r="A56" s="42"/>
    </row>
    <row r="57" spans="1:82">
      <c r="A57" s="42"/>
    </row>
    <row r="58" spans="1:82">
      <c r="A58" s="42"/>
    </row>
    <row r="59" spans="1:82">
      <c r="A59" s="42"/>
    </row>
    <row r="60" spans="1:82">
      <c r="A60" s="42"/>
    </row>
    <row r="61" spans="1:82">
      <c r="A61" s="42"/>
    </row>
    <row r="62" spans="1:82">
      <c r="A62" s="42"/>
    </row>
    <row r="63" spans="1:82">
      <c r="A63" s="42"/>
    </row>
    <row r="64" spans="1:82">
      <c r="A64" s="42"/>
    </row>
    <row r="65" spans="1:1">
      <c r="A65" s="42"/>
    </row>
    <row r="66" spans="1:1">
      <c r="A66" s="42"/>
    </row>
    <row r="67" spans="1:1">
      <c r="A67" s="42"/>
    </row>
    <row r="68" spans="1:1">
      <c r="A68" s="42"/>
    </row>
    <row r="69" spans="1:1">
      <c r="A69" s="42"/>
    </row>
    <row r="70" spans="1:1">
      <c r="A70" s="42"/>
    </row>
    <row r="71" spans="1:1">
      <c r="A71" s="42"/>
    </row>
    <row r="72" spans="1:1">
      <c r="A72" s="42"/>
    </row>
    <row r="73" spans="1:1">
      <c r="A73" s="42"/>
    </row>
    <row r="74" spans="1:1">
      <c r="A74" s="42"/>
    </row>
    <row r="75" spans="1:1">
      <c r="A75" s="42"/>
    </row>
    <row r="76" spans="1:1">
      <c r="A76" s="42"/>
    </row>
    <row r="77" spans="1:1">
      <c r="A77" s="42"/>
    </row>
    <row r="78" spans="1:1">
      <c r="A78" s="42"/>
    </row>
    <row r="79" spans="1:1">
      <c r="A79" s="42"/>
    </row>
    <row r="80" spans="1:1">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sheetData>
  <mergeCells count="68">
    <mergeCell ref="G2:I3"/>
    <mergeCell ref="C12:E12"/>
    <mergeCell ref="C15:E15"/>
    <mergeCell ref="C18:E18"/>
    <mergeCell ref="P8:Q8"/>
    <mergeCell ref="L9:M10"/>
    <mergeCell ref="N9:O10"/>
    <mergeCell ref="P9:Q10"/>
    <mergeCell ref="H12:AA12"/>
    <mergeCell ref="H14:I14"/>
    <mergeCell ref="J14:K14"/>
    <mergeCell ref="L14:M14"/>
    <mergeCell ref="N14:O14"/>
    <mergeCell ref="P14:Q14"/>
    <mergeCell ref="R14:S14"/>
    <mergeCell ref="T14:U14"/>
    <mergeCell ref="C21:E21"/>
    <mergeCell ref="C24:E24"/>
    <mergeCell ref="C27:E27"/>
    <mergeCell ref="H5:J6"/>
    <mergeCell ref="AD5:AE31"/>
    <mergeCell ref="H8:I8"/>
    <mergeCell ref="J8:K8"/>
    <mergeCell ref="L8:M8"/>
    <mergeCell ref="N8:O8"/>
    <mergeCell ref="R8:S8"/>
    <mergeCell ref="T8:U8"/>
    <mergeCell ref="V8:W8"/>
    <mergeCell ref="X8:Y8"/>
    <mergeCell ref="Z8:AA8"/>
    <mergeCell ref="H9:I10"/>
    <mergeCell ref="J9:K10"/>
    <mergeCell ref="R9:S10"/>
    <mergeCell ref="T9:U10"/>
    <mergeCell ref="V9:W10"/>
    <mergeCell ref="X9:Y10"/>
    <mergeCell ref="Z9:AA10"/>
    <mergeCell ref="V14:W14"/>
    <mergeCell ref="X14:Y14"/>
    <mergeCell ref="Z14:AA14"/>
    <mergeCell ref="H15:I15"/>
    <mergeCell ref="J15:K15"/>
    <mergeCell ref="L15:M15"/>
    <mergeCell ref="N15:O15"/>
    <mergeCell ref="P15:Q15"/>
    <mergeCell ref="R15:S15"/>
    <mergeCell ref="T15:U15"/>
    <mergeCell ref="V15:W15"/>
    <mergeCell ref="X15:Y15"/>
    <mergeCell ref="Z15:AA15"/>
    <mergeCell ref="H18:K19"/>
    <mergeCell ref="O18:R19"/>
    <mergeCell ref="Z24:AB25"/>
    <mergeCell ref="H25:H26"/>
    <mergeCell ref="I25:J26"/>
    <mergeCell ref="K25:K26"/>
    <mergeCell ref="O26:P26"/>
    <mergeCell ref="Q26:X27"/>
    <mergeCell ref="H20:I24"/>
    <mergeCell ref="J20:K24"/>
    <mergeCell ref="O20:P20"/>
    <mergeCell ref="Q20:X21"/>
    <mergeCell ref="O22:P22"/>
    <mergeCell ref="H29:J30"/>
    <mergeCell ref="H31:W35"/>
    <mergeCell ref="Q22:X23"/>
    <mergeCell ref="O24:P24"/>
    <mergeCell ref="Q24:X25"/>
  </mergeCells>
  <conditionalFormatting sqref="L23:P23 Y23">
    <cfRule type="expression" dxfId="18" priority="10">
      <formula>COUNTIF($H23:$AB23, L23)&gt;1</formula>
    </cfRule>
  </conditionalFormatting>
  <dataValidations count="1">
    <dataValidation type="list" allowBlank="1" showInputMessage="1" showErrorMessage="1" errorTitle="Wrong image number" error="The capacity of the scale is 10. the image number should be less than or equal to 10." sqref="L23" xr:uid="{9AF9FAEB-0B27-4F7D-9B9E-3F3A5900BC0C}">
      <formula1>"1,2,3,4,5,6,7,8,9,10"</formula1>
    </dataValidation>
  </dataValidations>
  <hyperlinks>
    <hyperlink ref="C15" location="'Data recording'!G2" display="Data recording" xr:uid="{344BB095-DC32-4EBC-B527-C6F01E87A250}"/>
    <hyperlink ref="C18" location="'Composite scale'!G2" display="Composite scale" xr:uid="{4E7C7417-699F-4036-B959-CF294FD3572B}"/>
    <hyperlink ref="C21" location="Visulization!G2" display="Visulization" xr:uid="{72012357-4A0E-4385-9BC8-76BC42655AC0}"/>
    <hyperlink ref="C24" location="Import!G2" display="Import data" xr:uid="{905F3DC8-F420-42BB-A6FE-DA3CA720B76A}"/>
    <hyperlink ref="C27" location="Subgroups!G2" display="Subgroups" xr:uid="{D7559F30-E954-48B4-A327-E5C51556C928}"/>
    <hyperlink ref="B2" location="Help!G2" display="Help" xr:uid="{5575F59D-09D4-4EFE-BDB0-4D1501E52A69}"/>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9" id="{64D40600-B441-4E8A-A177-4E5FC7EF0274}">
            <x14:iconSet iconSet="3Symbols2" showValue="0" custom="1">
              <x14:cfvo type="percent">
                <xm:f>0</xm:f>
              </x14:cfvo>
              <x14:cfvo type="percent">
                <xm:f>0</xm:f>
              </x14:cfvo>
              <x14:cfvo type="percent">
                <xm:f>1</xm:f>
              </x14:cfvo>
              <x14:cfIcon iconSet="NoIcons" iconId="0"/>
              <x14:cfIcon iconSet="NoIcons" iconId="0"/>
              <x14:cfIcon iconSet="3Symbols2" iconId="2"/>
            </x14:iconSet>
          </x14:cfRule>
          <xm:sqref>L24:O24 Q24</xm:sqref>
        </x14:conditionalFormatting>
        <x14:conditionalFormatting xmlns:xm="http://schemas.microsoft.com/office/excel/2006/main">
          <x14:cfRule type="expression" priority="8" id="{087263F7-91B1-4F7D-B8DF-08FB24CACA27}">
            <xm:f>Import!$AR$84-Import!$AS$84&lt;0</xm:f>
            <x14:dxf>
              <font>
                <b/>
                <i val="0"/>
                <color rgb="FFBF8F00"/>
              </font>
              <fill>
                <patternFill>
                  <bgColor rgb="FFFFF2CC"/>
                </patternFill>
              </fill>
            </x14:dxf>
          </x14:cfRule>
          <xm:sqref>H9:AA10</xm:sqref>
        </x14:conditionalFormatting>
        <x14:conditionalFormatting xmlns:xm="http://schemas.microsoft.com/office/excel/2006/main">
          <x14:cfRule type="expression" priority="7" id="{D6AB0241-8FBB-4407-BA01-8277F18CF900}">
            <xm:f>Import!$AR$84-Import!$AS$84=0</xm:f>
            <x14:dxf>
              <font>
                <color theme="0"/>
              </font>
              <fill>
                <patternFill>
                  <bgColor theme="0"/>
                </patternFill>
              </fill>
            </x14:dxf>
          </x14:cfRule>
          <xm:sqref>H12:AA12</xm:sqref>
        </x14:conditionalFormatting>
        <x14:conditionalFormatting xmlns:xm="http://schemas.microsoft.com/office/excel/2006/main">
          <x14:cfRule type="expression" priority="5" id="{E6E528FD-DCF2-4C54-BC73-7C7D7755336D}">
            <xm:f>Import!$AG$88&lt;25</xm:f>
            <x14:dxf>
              <font>
                <color theme="5" tint="-0.24994659260841701"/>
              </font>
              <fill>
                <patternFill>
                  <bgColor theme="5" tint="0.79998168889431442"/>
                </patternFill>
              </fill>
            </x14:dxf>
          </x14:cfRule>
          <x14:cfRule type="expression" priority="6" id="{338E8C5F-9F67-40D7-9128-F3A9BB3D4E72}">
            <xm:f>Import!$AG$88&gt;50</xm:f>
            <x14:dxf>
              <font>
                <color rgb="FF00B050"/>
              </font>
              <fill>
                <patternFill>
                  <bgColor theme="6" tint="0.79998168889431442"/>
                </patternFill>
              </fill>
            </x14:dxf>
          </x14:cfRule>
          <xm:sqref>H20:K24</xm:sqref>
        </x14:conditionalFormatting>
        <x14:conditionalFormatting xmlns:xm="http://schemas.microsoft.com/office/excel/2006/main">
          <x14:cfRule type="expression" priority="4" id="{90C7BD1B-3573-4441-B97A-F3C71AACA726}">
            <xm:f>Import!$AG$88&lt;25</xm:f>
            <x14:dxf>
              <font>
                <color theme="5" tint="-0.24994659260841701"/>
              </font>
              <fill>
                <patternFill>
                  <bgColor theme="5" tint="0.79998168889431442"/>
                </patternFill>
              </fill>
            </x14:dxf>
          </x14:cfRule>
          <xm:sqref>H25:H26</xm:sqref>
        </x14:conditionalFormatting>
        <x14:conditionalFormatting xmlns:xm="http://schemas.microsoft.com/office/excel/2006/main">
          <x14:cfRule type="expression" priority="3" id="{6716C515-E817-4B2F-9EA3-6AD0AED62A83}">
            <xm:f>Import!$AG$88&lt;25</xm:f>
            <x14:dxf>
              <font>
                <color theme="5" tint="0.79998168889431442"/>
              </font>
              <fill>
                <patternFill>
                  <bgColor theme="5" tint="0.79998168889431442"/>
                </patternFill>
              </fill>
            </x14:dxf>
          </x14:cfRule>
          <xm:sqref>I25:K26</xm:sqref>
        </x14:conditionalFormatting>
        <x14:conditionalFormatting xmlns:xm="http://schemas.microsoft.com/office/excel/2006/main">
          <x14:cfRule type="expression" priority="2" id="{57E5398F-9A15-4F4F-AE72-CD6F3ED8F461}">
            <xm:f>Import!$AG$88&gt;50</xm:f>
            <x14:dxf>
              <font>
                <color rgb="FF00B050"/>
              </font>
              <fill>
                <patternFill>
                  <bgColor theme="6" tint="0.79998168889431442"/>
                </patternFill>
              </fill>
            </x14:dxf>
          </x14:cfRule>
          <xm:sqref>K25:K26</xm:sqref>
        </x14:conditionalFormatting>
        <x14:conditionalFormatting xmlns:xm="http://schemas.microsoft.com/office/excel/2006/main">
          <x14:cfRule type="expression" priority="1" id="{BE4FF529-B141-4BD5-89EF-9D587574CDBF}">
            <xm:f>Import!$AG$88&gt;50</xm:f>
            <x14:dxf>
              <font>
                <color theme="6" tint="0.79998168889431442"/>
              </font>
              <fill>
                <patternFill>
                  <bgColor theme="6" tint="0.79998168889431442"/>
                </patternFill>
              </fill>
            </x14:dxf>
          </x14:cfRule>
          <xm:sqref>H25:J26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820B3-6D93-4BA2-8CF6-53972E621145}">
  <sheetPr codeName="Sheet10"/>
  <dimension ref="A1:CD170"/>
  <sheetViews>
    <sheetView topLeftCell="D6" zoomScaleNormal="100" workbookViewId="0">
      <selection activeCell="BF21" sqref="BF21"/>
    </sheetView>
  </sheetViews>
  <sheetFormatPr defaultRowHeight="14.6"/>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30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ht="15" customHeight="1">
      <c r="A4" s="19"/>
      <c r="B4" s="21"/>
      <c r="C4" s="21"/>
      <c r="D4" s="21"/>
      <c r="E4" s="21"/>
      <c r="F4" s="24"/>
      <c r="G4" s="24"/>
      <c r="H4" s="24"/>
      <c r="I4" s="24"/>
      <c r="J4" s="49"/>
      <c r="K4" s="24"/>
      <c r="L4" s="24"/>
      <c r="M4" s="24"/>
      <c r="N4" s="24"/>
      <c r="O4" s="24"/>
      <c r="P4" s="24"/>
      <c r="Q4" s="24"/>
      <c r="R4" s="24"/>
      <c r="S4" s="24"/>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ht="15" customHeight="1">
      <c r="A5" s="19"/>
      <c r="B5" s="21"/>
      <c r="C5" s="21"/>
      <c r="D5" s="21"/>
      <c r="E5" s="21"/>
      <c r="F5" s="24"/>
      <c r="G5" s="25"/>
      <c r="H5" s="121" t="s">
        <v>139</v>
      </c>
      <c r="I5" s="121"/>
      <c r="J5" s="121"/>
      <c r="K5" s="25"/>
      <c r="L5" s="25"/>
      <c r="M5" s="25"/>
      <c r="N5" s="25"/>
      <c r="O5" s="25"/>
      <c r="P5" s="25"/>
      <c r="Q5" s="25"/>
      <c r="R5" s="25"/>
      <c r="S5" s="25"/>
      <c r="T5" s="25"/>
      <c r="U5" s="25"/>
      <c r="V5" s="25"/>
      <c r="W5" s="25"/>
      <c r="X5" s="25"/>
      <c r="Y5" s="25"/>
      <c r="Z5" s="25"/>
      <c r="AA5" s="25"/>
      <c r="AB5" s="25"/>
      <c r="AC5" s="24"/>
      <c r="AD5" s="142" t="s">
        <v>140</v>
      </c>
      <c r="AE5" s="143"/>
      <c r="AF5" s="121" t="s">
        <v>141</v>
      </c>
      <c r="AG5" s="121"/>
      <c r="AH5" s="121"/>
      <c r="AI5" s="121"/>
      <c r="AJ5" s="121"/>
      <c r="AK5" s="25"/>
      <c r="AL5" s="25"/>
      <c r="AM5" s="25"/>
      <c r="AN5" s="25"/>
      <c r="AO5" s="25"/>
      <c r="AP5" s="25"/>
      <c r="AQ5" s="25"/>
      <c r="AR5" s="25"/>
      <c r="AS5" s="25"/>
      <c r="AT5" s="24"/>
      <c r="AU5" s="173" t="s">
        <v>90</v>
      </c>
      <c r="AV5" s="173"/>
      <c r="AW5" s="173"/>
      <c r="AX5" s="174" t="s">
        <v>142</v>
      </c>
      <c r="AY5" s="153"/>
      <c r="AZ5" s="153"/>
      <c r="BA5" s="153"/>
      <c r="BB5" s="153"/>
      <c r="BC5" s="25"/>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c r="A6" s="19"/>
      <c r="B6" s="21"/>
      <c r="C6" s="21"/>
      <c r="D6" s="21"/>
      <c r="E6" s="21"/>
      <c r="F6" s="24"/>
      <c r="G6" s="25"/>
      <c r="H6" s="121"/>
      <c r="I6" s="121"/>
      <c r="J6" s="121"/>
      <c r="K6" s="25"/>
      <c r="L6" s="25"/>
      <c r="M6" s="25"/>
      <c r="N6" s="25"/>
      <c r="O6" s="25"/>
      <c r="P6" s="25"/>
      <c r="Q6" s="25"/>
      <c r="R6" s="25"/>
      <c r="S6" s="25"/>
      <c r="T6" s="25"/>
      <c r="U6" s="25"/>
      <c r="V6" s="25"/>
      <c r="W6" s="25"/>
      <c r="X6" s="25"/>
      <c r="Y6" s="25"/>
      <c r="Z6" s="25"/>
      <c r="AA6" s="25"/>
      <c r="AB6" s="25"/>
      <c r="AC6" s="24"/>
      <c r="AD6" s="143"/>
      <c r="AE6" s="143"/>
      <c r="AF6" s="121"/>
      <c r="AG6" s="121"/>
      <c r="AH6" s="121"/>
      <c r="AI6" s="121"/>
      <c r="AJ6" s="121"/>
      <c r="AK6" s="25"/>
      <c r="AL6" s="25"/>
      <c r="AM6" s="25"/>
      <c r="AN6" s="25"/>
      <c r="AO6" s="25"/>
      <c r="AP6" s="25"/>
      <c r="AQ6" s="25"/>
      <c r="AR6" s="25"/>
      <c r="AS6" s="25"/>
      <c r="AT6" s="24"/>
      <c r="AU6" s="173"/>
      <c r="AV6" s="173"/>
      <c r="AW6" s="173"/>
      <c r="AX6" s="174"/>
      <c r="AY6" s="153"/>
      <c r="AZ6" s="153"/>
      <c r="BA6" s="153"/>
      <c r="BB6" s="153"/>
      <c r="BC6" s="25"/>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ht="18.45">
      <c r="A7" s="21"/>
      <c r="B7" s="21"/>
      <c r="C7" s="21"/>
      <c r="D7" s="21"/>
      <c r="E7" s="21"/>
      <c r="F7" s="24"/>
      <c r="G7" s="25"/>
      <c r="H7" s="57"/>
      <c r="I7" s="57"/>
      <c r="J7" s="57"/>
      <c r="K7" s="57"/>
      <c r="L7" s="57"/>
      <c r="M7" s="57"/>
      <c r="N7" s="57"/>
      <c r="O7" s="57"/>
      <c r="P7" s="57"/>
      <c r="Q7" s="57"/>
      <c r="R7" s="57"/>
      <c r="S7" s="57"/>
      <c r="T7" s="57"/>
      <c r="U7" s="57"/>
      <c r="V7" s="57"/>
      <c r="W7" s="57"/>
      <c r="X7" s="57"/>
      <c r="Y7" s="57"/>
      <c r="Z7" s="57"/>
      <c r="AA7" s="57"/>
      <c r="AB7" s="25"/>
      <c r="AC7" s="24"/>
      <c r="AD7" s="143"/>
      <c r="AE7" s="143"/>
      <c r="AF7" s="25"/>
      <c r="AG7" s="25"/>
      <c r="AH7" s="25"/>
      <c r="AI7" s="25"/>
      <c r="AJ7" s="25"/>
      <c r="AK7" s="25"/>
      <c r="AL7" s="25"/>
      <c r="AM7" s="25"/>
      <c r="AN7" s="25"/>
      <c r="AO7" s="25"/>
      <c r="AP7" s="25"/>
      <c r="AQ7" s="25"/>
      <c r="AR7" s="25"/>
      <c r="AS7" s="25"/>
      <c r="AT7" s="24"/>
      <c r="AU7" s="25"/>
      <c r="AV7" s="25"/>
      <c r="AW7" s="25"/>
      <c r="AX7" s="87"/>
      <c r="AY7" s="25"/>
      <c r="AZ7" s="25"/>
      <c r="BA7" s="25"/>
      <c r="BB7" s="25"/>
      <c r="BC7" s="25"/>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ht="18.45">
      <c r="A8" s="21"/>
      <c r="B8" s="21"/>
      <c r="C8" s="21"/>
      <c r="D8" s="21"/>
      <c r="E8" s="21"/>
      <c r="F8" s="24"/>
      <c r="G8" s="25"/>
      <c r="H8" s="175"/>
      <c r="I8" s="175"/>
      <c r="J8" s="88"/>
      <c r="K8" s="88"/>
      <c r="L8" s="88"/>
      <c r="M8" s="88"/>
      <c r="N8" s="88"/>
      <c r="O8" s="88"/>
      <c r="P8" s="88"/>
      <c r="Q8" s="88"/>
      <c r="R8" s="88"/>
      <c r="S8" s="88"/>
      <c r="T8" s="57"/>
      <c r="U8" s="57"/>
      <c r="V8" s="57"/>
      <c r="W8" s="57"/>
      <c r="X8" s="57"/>
      <c r="Y8" s="57"/>
      <c r="Z8" s="57"/>
      <c r="AA8" s="57"/>
      <c r="AB8" s="25"/>
      <c r="AC8" s="24"/>
      <c r="AD8" s="143"/>
      <c r="AE8" s="143"/>
      <c r="AF8" s="25"/>
      <c r="AG8" s="25"/>
      <c r="AH8" s="25"/>
      <c r="AI8" s="25"/>
      <c r="AJ8" s="25"/>
      <c r="AK8" s="25"/>
      <c r="AL8" s="25"/>
      <c r="AM8" s="25"/>
      <c r="AN8" s="25"/>
      <c r="AO8" s="25"/>
      <c r="AP8" s="25"/>
      <c r="AQ8" s="25"/>
      <c r="AR8" s="25"/>
      <c r="AS8" s="25"/>
      <c r="AT8" s="24"/>
      <c r="AU8" s="176" t="s">
        <v>143</v>
      </c>
      <c r="AV8" s="176"/>
      <c r="AW8" s="176"/>
      <c r="AX8" s="87"/>
      <c r="AY8" s="25"/>
      <c r="AZ8" s="25"/>
      <c r="BA8" s="25"/>
      <c r="BB8" s="25"/>
      <c r="BC8" s="25"/>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ht="18.45">
      <c r="A9" s="21"/>
      <c r="B9" s="21"/>
      <c r="C9" s="21"/>
      <c r="D9" s="21"/>
      <c r="E9" s="21"/>
      <c r="F9" s="24"/>
      <c r="G9" s="25"/>
      <c r="H9" s="177"/>
      <c r="I9" s="177"/>
      <c r="J9" s="25"/>
      <c r="K9" s="25"/>
      <c r="L9" s="25"/>
      <c r="M9" s="25"/>
      <c r="N9" s="25"/>
      <c r="O9" s="25"/>
      <c r="P9" s="25"/>
      <c r="Q9" s="25"/>
      <c r="R9" s="25"/>
      <c r="S9" s="25"/>
      <c r="T9" s="57"/>
      <c r="U9" s="57"/>
      <c r="V9" s="57"/>
      <c r="W9" s="57"/>
      <c r="X9" s="57"/>
      <c r="Y9" s="57"/>
      <c r="Z9" s="57"/>
      <c r="AA9" s="57"/>
      <c r="AB9" s="25"/>
      <c r="AC9" s="24"/>
      <c r="AD9" s="143"/>
      <c r="AE9" s="143"/>
      <c r="AF9" s="25"/>
      <c r="AG9" s="25"/>
      <c r="AH9" s="25"/>
      <c r="AI9" s="25"/>
      <c r="AJ9" s="25"/>
      <c r="AK9" s="25"/>
      <c r="AL9" s="25"/>
      <c r="AM9" s="25"/>
      <c r="AN9" s="25"/>
      <c r="AO9" s="25"/>
      <c r="AP9" s="25"/>
      <c r="AQ9" s="25"/>
      <c r="AR9" s="25"/>
      <c r="AS9" s="25"/>
      <c r="AT9" s="24"/>
      <c r="AU9" s="176"/>
      <c r="AV9" s="176"/>
      <c r="AW9" s="176"/>
      <c r="AX9" s="87"/>
      <c r="AY9" s="25"/>
      <c r="AZ9" s="25"/>
      <c r="BA9" s="25"/>
      <c r="BB9" s="25"/>
      <c r="BC9" s="25"/>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ht="18.45">
      <c r="A10" s="21"/>
      <c r="B10" s="21"/>
      <c r="C10" s="21"/>
      <c r="D10" s="21"/>
      <c r="E10" s="21"/>
      <c r="F10" s="24"/>
      <c r="G10" s="25"/>
      <c r="H10" s="177"/>
      <c r="I10" s="177"/>
      <c r="J10" s="25"/>
      <c r="K10" s="25"/>
      <c r="L10" s="25"/>
      <c r="M10" s="25"/>
      <c r="N10" s="25"/>
      <c r="O10" s="25"/>
      <c r="P10" s="25"/>
      <c r="Q10" s="25"/>
      <c r="R10" s="25"/>
      <c r="S10" s="25"/>
      <c r="T10" s="57"/>
      <c r="U10" s="57"/>
      <c r="V10" s="57"/>
      <c r="W10" s="57"/>
      <c r="X10" s="57"/>
      <c r="Y10" s="57"/>
      <c r="Z10" s="57"/>
      <c r="AA10" s="57"/>
      <c r="AB10" s="25"/>
      <c r="AC10" s="24"/>
      <c r="AD10" s="143"/>
      <c r="AE10" s="143"/>
      <c r="AF10" s="25"/>
      <c r="AG10" s="25"/>
      <c r="AH10" s="25"/>
      <c r="AI10" s="25"/>
      <c r="AJ10" s="25"/>
      <c r="AK10" s="25"/>
      <c r="AL10" s="25"/>
      <c r="AM10" s="25"/>
      <c r="AN10" s="25"/>
      <c r="AO10" s="25"/>
      <c r="AP10" s="25"/>
      <c r="AQ10" s="25"/>
      <c r="AR10" s="25"/>
      <c r="AS10" s="25"/>
      <c r="AT10" s="24"/>
      <c r="AU10" s="176"/>
      <c r="AV10" s="176"/>
      <c r="AW10" s="176"/>
      <c r="AX10" s="87"/>
      <c r="AY10" s="25"/>
      <c r="AZ10" s="25"/>
      <c r="BA10" s="25"/>
      <c r="BB10" s="25"/>
      <c r="BC10" s="25"/>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c r="A11" s="26"/>
      <c r="B11" s="27"/>
      <c r="C11" s="27"/>
      <c r="D11" s="27"/>
      <c r="E11" s="28"/>
      <c r="F11" s="24"/>
      <c r="G11" s="25"/>
      <c r="H11" s="177"/>
      <c r="I11" s="177"/>
      <c r="J11" s="25"/>
      <c r="K11" s="25"/>
      <c r="L11" s="25"/>
      <c r="M11" s="25"/>
      <c r="N11" s="25"/>
      <c r="O11" s="25"/>
      <c r="P11" s="25"/>
      <c r="Q11" s="25"/>
      <c r="R11" s="25"/>
      <c r="S11" s="25"/>
      <c r="T11" s="25"/>
      <c r="U11" s="25"/>
      <c r="V11" s="25"/>
      <c r="W11" s="25"/>
      <c r="X11" s="25"/>
      <c r="Y11" s="25"/>
      <c r="Z11" s="25"/>
      <c r="AA11" s="25"/>
      <c r="AB11" s="25"/>
      <c r="AC11" s="24"/>
      <c r="AD11" s="143"/>
      <c r="AE11" s="143"/>
      <c r="AF11" s="25"/>
      <c r="AG11" s="25"/>
      <c r="AH11" s="25"/>
      <c r="AI11" s="25"/>
      <c r="AJ11" s="25"/>
      <c r="AK11" s="25"/>
      <c r="AL11" s="25"/>
      <c r="AM11" s="25"/>
      <c r="AN11" s="25"/>
      <c r="AO11" s="25"/>
      <c r="AP11" s="25"/>
      <c r="AQ11" s="25"/>
      <c r="AR11" s="25"/>
      <c r="AS11" s="25"/>
      <c r="AT11" s="24"/>
      <c r="AU11" s="176"/>
      <c r="AV11" s="176"/>
      <c r="AW11" s="176"/>
      <c r="AX11" s="87"/>
      <c r="AY11" s="25"/>
      <c r="AZ11" s="25"/>
      <c r="BA11" s="25"/>
      <c r="BB11" s="25"/>
      <c r="BC11" s="25"/>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0.6">
      <c r="A12" s="29"/>
      <c r="B12" s="30"/>
      <c r="C12" s="119" t="s">
        <v>19</v>
      </c>
      <c r="D12" s="119"/>
      <c r="E12" s="120"/>
      <c r="F12" s="24"/>
      <c r="G12" s="25"/>
      <c r="H12" s="177"/>
      <c r="I12" s="177"/>
      <c r="J12" s="25"/>
      <c r="K12" s="25"/>
      <c r="L12" s="25"/>
      <c r="M12" s="25"/>
      <c r="N12" s="25"/>
      <c r="O12" s="25"/>
      <c r="P12" s="25"/>
      <c r="Q12" s="25"/>
      <c r="R12" s="25"/>
      <c r="S12" s="25"/>
      <c r="T12" s="89"/>
      <c r="U12" s="55"/>
      <c r="V12" s="89"/>
      <c r="W12" s="55"/>
      <c r="X12" s="89"/>
      <c r="Y12" s="55"/>
      <c r="Z12" s="89"/>
      <c r="AA12" s="55"/>
      <c r="AB12" s="25"/>
      <c r="AC12" s="24"/>
      <c r="AD12" s="143"/>
      <c r="AE12" s="143"/>
      <c r="AF12" s="25"/>
      <c r="AG12" s="25"/>
      <c r="AH12" s="25"/>
      <c r="AI12" s="25"/>
      <c r="AJ12" s="25"/>
      <c r="AK12" s="25"/>
      <c r="AL12" s="25"/>
      <c r="AM12" s="25"/>
      <c r="AN12" s="25"/>
      <c r="AO12" s="25"/>
      <c r="AP12" s="25"/>
      <c r="AQ12" s="25"/>
      <c r="AR12" s="25"/>
      <c r="AS12" s="25"/>
      <c r="AT12" s="24"/>
      <c r="AU12" s="176"/>
      <c r="AV12" s="176"/>
      <c r="AW12" s="176"/>
      <c r="AX12" s="87"/>
      <c r="AY12" s="25"/>
      <c r="AZ12" s="25"/>
      <c r="BA12" s="25"/>
      <c r="BB12" s="25"/>
      <c r="BC12" s="25"/>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0.6">
      <c r="A13" s="31"/>
      <c r="B13" s="32"/>
      <c r="C13" s="33"/>
      <c r="D13" s="32"/>
      <c r="E13" s="34"/>
      <c r="F13" s="24"/>
      <c r="G13" s="25"/>
      <c r="H13" s="177"/>
      <c r="I13" s="177"/>
      <c r="J13" s="25"/>
      <c r="K13" s="25"/>
      <c r="L13" s="25"/>
      <c r="M13" s="25"/>
      <c r="N13" s="25"/>
      <c r="O13" s="25"/>
      <c r="P13" s="25"/>
      <c r="Q13" s="25"/>
      <c r="R13" s="25"/>
      <c r="S13" s="25"/>
      <c r="T13" s="25"/>
      <c r="U13" s="25"/>
      <c r="V13" s="25"/>
      <c r="W13" s="25"/>
      <c r="X13" s="25"/>
      <c r="Y13" s="25"/>
      <c r="Z13" s="25"/>
      <c r="AA13" s="25"/>
      <c r="AB13" s="25"/>
      <c r="AC13" s="24"/>
      <c r="AD13" s="143"/>
      <c r="AE13" s="143"/>
      <c r="AF13" s="25"/>
      <c r="AG13" s="25"/>
      <c r="AH13" s="25"/>
      <c r="AI13" s="25"/>
      <c r="AJ13" s="25"/>
      <c r="AK13" s="25"/>
      <c r="AL13" s="25"/>
      <c r="AM13" s="25"/>
      <c r="AN13" s="25"/>
      <c r="AO13" s="25"/>
      <c r="AP13" s="25"/>
      <c r="AQ13" s="25"/>
      <c r="AR13" s="25"/>
      <c r="AS13" s="25"/>
      <c r="AT13" s="24"/>
      <c r="AU13" s="176"/>
      <c r="AV13" s="176"/>
      <c r="AW13" s="176"/>
      <c r="AX13" s="87"/>
      <c r="AY13" s="25"/>
      <c r="AZ13" s="25"/>
      <c r="BA13" s="25"/>
      <c r="BB13" s="25"/>
      <c r="BC13" s="25"/>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36"/>
      <c r="D14" s="21"/>
      <c r="E14" s="21"/>
      <c r="F14" s="24"/>
      <c r="G14" s="25"/>
      <c r="H14" s="177"/>
      <c r="I14" s="177"/>
      <c r="J14" s="25"/>
      <c r="K14" s="25"/>
      <c r="L14" s="25"/>
      <c r="M14" s="25"/>
      <c r="N14" s="25"/>
      <c r="O14" s="25"/>
      <c r="P14" s="25"/>
      <c r="Q14" s="25"/>
      <c r="R14" s="25"/>
      <c r="S14" s="25"/>
      <c r="T14" s="25"/>
      <c r="U14" s="25"/>
      <c r="V14" s="25"/>
      <c r="W14" s="25"/>
      <c r="X14" s="25"/>
      <c r="Y14" s="25"/>
      <c r="Z14" s="25"/>
      <c r="AA14" s="25"/>
      <c r="AB14" s="25"/>
      <c r="AC14" s="24"/>
      <c r="AD14" s="143"/>
      <c r="AE14" s="143"/>
      <c r="AF14" s="25"/>
      <c r="AG14" s="25"/>
      <c r="AH14" s="25"/>
      <c r="AI14" s="25"/>
      <c r="AJ14" s="25"/>
      <c r="AK14" s="25"/>
      <c r="AL14" s="25"/>
      <c r="AM14" s="25"/>
      <c r="AN14" s="25"/>
      <c r="AO14" s="25"/>
      <c r="AP14" s="25"/>
      <c r="AQ14" s="25"/>
      <c r="AR14" s="25"/>
      <c r="AS14" s="25"/>
      <c r="AT14" s="24"/>
      <c r="AU14" s="176"/>
      <c r="AV14" s="176"/>
      <c r="AW14" s="176"/>
      <c r="AX14" s="87"/>
      <c r="AY14" s="25"/>
      <c r="AZ14" s="25"/>
      <c r="BA14" s="25"/>
      <c r="BB14" s="25"/>
      <c r="BC14" s="25"/>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22" t="s">
        <v>21</v>
      </c>
      <c r="D15" s="122"/>
      <c r="E15" s="122"/>
      <c r="F15" s="24"/>
      <c r="G15" s="25"/>
      <c r="H15" s="25"/>
      <c r="I15" s="25"/>
      <c r="J15" s="25"/>
      <c r="K15" s="25"/>
      <c r="L15" s="25"/>
      <c r="M15" s="25"/>
      <c r="N15" s="25"/>
      <c r="O15" s="25"/>
      <c r="P15" s="25"/>
      <c r="Q15" s="25"/>
      <c r="R15" s="25"/>
      <c r="S15" s="25"/>
      <c r="T15" s="25"/>
      <c r="U15" s="25"/>
      <c r="V15" s="25"/>
      <c r="W15" s="25"/>
      <c r="X15" s="25"/>
      <c r="Y15" s="25"/>
      <c r="Z15" s="25"/>
      <c r="AA15" s="25"/>
      <c r="AB15" s="25"/>
      <c r="AC15" s="24"/>
      <c r="AD15" s="143"/>
      <c r="AE15" s="143"/>
      <c r="AF15" s="25"/>
      <c r="AG15" s="25"/>
      <c r="AH15" s="25"/>
      <c r="AI15" s="25"/>
      <c r="AJ15" s="25"/>
      <c r="AK15" s="25"/>
      <c r="AL15" s="25"/>
      <c r="AM15" s="25"/>
      <c r="AN15" s="25"/>
      <c r="AO15" s="25"/>
      <c r="AP15" s="25"/>
      <c r="AQ15" s="25"/>
      <c r="AR15" s="25"/>
      <c r="AS15" s="25"/>
      <c r="AT15" s="24"/>
      <c r="AU15" s="176"/>
      <c r="AV15" s="176"/>
      <c r="AW15" s="176"/>
      <c r="AX15" s="87"/>
      <c r="AY15" s="25"/>
      <c r="AZ15" s="25"/>
      <c r="BA15" s="25"/>
      <c r="BB15" s="25"/>
      <c r="BC15" s="25"/>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44"/>
      <c r="D16" s="44"/>
      <c r="E16" s="44"/>
      <c r="F16" s="24"/>
      <c r="G16" s="25"/>
      <c r="H16" s="25"/>
      <c r="I16" s="25"/>
      <c r="J16" s="25"/>
      <c r="K16" s="25"/>
      <c r="L16" s="25"/>
      <c r="M16" s="25"/>
      <c r="N16" s="25"/>
      <c r="O16" s="25"/>
      <c r="P16" s="25"/>
      <c r="Q16" s="25"/>
      <c r="R16" s="25"/>
      <c r="S16" s="25"/>
      <c r="T16" s="25"/>
      <c r="U16" s="25"/>
      <c r="V16" s="25"/>
      <c r="W16" s="25"/>
      <c r="X16" s="25"/>
      <c r="Y16" s="25"/>
      <c r="Z16" s="25"/>
      <c r="AA16" s="25"/>
      <c r="AB16" s="25"/>
      <c r="AC16" s="24"/>
      <c r="AD16" s="143"/>
      <c r="AE16" s="143"/>
      <c r="AF16" s="25"/>
      <c r="AG16" s="25"/>
      <c r="AH16" s="25"/>
      <c r="AI16" s="25"/>
      <c r="AJ16" s="25"/>
      <c r="AK16" s="25"/>
      <c r="AL16" s="25"/>
      <c r="AM16" s="25"/>
      <c r="AN16" s="25"/>
      <c r="AO16" s="25"/>
      <c r="AP16" s="25"/>
      <c r="AQ16" s="25"/>
      <c r="AR16" s="25"/>
      <c r="AS16" s="25"/>
      <c r="AT16" s="24"/>
      <c r="AU16" s="176"/>
      <c r="AV16" s="176"/>
      <c r="AW16" s="176"/>
      <c r="AX16" s="87"/>
      <c r="AY16" s="25"/>
      <c r="AZ16" s="25"/>
      <c r="BA16" s="25"/>
      <c r="BB16" s="25"/>
      <c r="BC16" s="25"/>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44"/>
      <c r="D17" s="44"/>
      <c r="E17" s="44"/>
      <c r="F17" s="24"/>
      <c r="G17" s="25"/>
      <c r="H17" s="90"/>
      <c r="I17" s="91"/>
      <c r="J17" s="91"/>
      <c r="K17" s="91"/>
      <c r="L17" s="91"/>
      <c r="M17" s="91"/>
      <c r="N17" s="91"/>
      <c r="O17" s="91"/>
      <c r="P17" s="91"/>
      <c r="Q17" s="91"/>
      <c r="R17" s="91"/>
      <c r="S17" s="91"/>
      <c r="T17" s="91"/>
      <c r="U17" s="91"/>
      <c r="V17" s="91"/>
      <c r="W17" s="91"/>
      <c r="X17" s="91"/>
      <c r="Y17" s="91"/>
      <c r="Z17" s="91"/>
      <c r="AA17" s="91"/>
      <c r="AB17" s="25"/>
      <c r="AC17" s="24"/>
      <c r="AD17" s="143"/>
      <c r="AE17" s="143"/>
      <c r="AF17" s="25"/>
      <c r="AG17" s="25"/>
      <c r="AH17" s="25"/>
      <c r="AI17" s="25"/>
      <c r="AJ17" s="25"/>
      <c r="AK17" s="25"/>
      <c r="AL17" s="25"/>
      <c r="AM17" s="25"/>
      <c r="AN17" s="25"/>
      <c r="AO17" s="25"/>
      <c r="AP17" s="25"/>
      <c r="AQ17" s="25"/>
      <c r="AR17" s="25"/>
      <c r="AS17" s="25"/>
      <c r="AT17" s="24"/>
      <c r="AU17" s="176"/>
      <c r="AV17" s="176"/>
      <c r="AW17" s="176"/>
      <c r="AX17" s="87"/>
      <c r="AY17" s="25"/>
      <c r="AZ17" s="25"/>
      <c r="BA17" s="25"/>
      <c r="BB17" s="25"/>
      <c r="BC17" s="25"/>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19.75">
      <c r="A18" s="21"/>
      <c r="B18" s="21"/>
      <c r="C18" s="122" t="s">
        <v>23</v>
      </c>
      <c r="D18" s="122"/>
      <c r="E18" s="122"/>
      <c r="F18" s="24"/>
      <c r="G18" s="25"/>
      <c r="H18" s="25"/>
      <c r="I18" s="25"/>
      <c r="J18" s="25"/>
      <c r="K18" s="25"/>
      <c r="L18" s="25"/>
      <c r="M18" s="25"/>
      <c r="N18" s="25"/>
      <c r="O18" s="25"/>
      <c r="P18" s="25"/>
      <c r="Q18" s="25"/>
      <c r="R18" s="25"/>
      <c r="S18" s="25"/>
      <c r="T18" s="25"/>
      <c r="U18" s="25"/>
      <c r="V18" s="25"/>
      <c r="W18" s="25"/>
      <c r="X18" s="25"/>
      <c r="Y18" s="25"/>
      <c r="Z18" s="25"/>
      <c r="AA18" s="25"/>
      <c r="AB18" s="25"/>
      <c r="AC18" s="24"/>
      <c r="AD18" s="143"/>
      <c r="AE18" s="143"/>
      <c r="AF18" s="25"/>
      <c r="AG18" s="25"/>
      <c r="AH18" s="25"/>
      <c r="AI18" s="25"/>
      <c r="AJ18" s="25"/>
      <c r="AK18" s="25"/>
      <c r="AL18" s="25"/>
      <c r="AM18" s="25"/>
      <c r="AN18" s="25"/>
      <c r="AO18" s="25"/>
      <c r="AP18" s="25"/>
      <c r="AQ18" s="25"/>
      <c r="AR18" s="25"/>
      <c r="AS18" s="25"/>
      <c r="AT18" s="24"/>
      <c r="AU18" s="176"/>
      <c r="AV18" s="176"/>
      <c r="AW18" s="176"/>
      <c r="AX18" s="87"/>
      <c r="AY18" s="25"/>
      <c r="AZ18" s="25"/>
      <c r="BA18" s="25"/>
      <c r="BB18" s="25"/>
      <c r="BC18" s="25"/>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19.75">
      <c r="A19" s="21"/>
      <c r="B19" s="21"/>
      <c r="C19" s="44"/>
      <c r="D19" s="44"/>
      <c r="E19" s="44"/>
      <c r="F19" s="24"/>
      <c r="G19" s="25"/>
      <c r="H19" s="25"/>
      <c r="I19" s="25"/>
      <c r="J19" s="25"/>
      <c r="K19" s="25"/>
      <c r="L19" s="25"/>
      <c r="M19" s="25"/>
      <c r="N19" s="25"/>
      <c r="O19" s="25"/>
      <c r="P19" s="25"/>
      <c r="Q19" s="25"/>
      <c r="R19" s="25"/>
      <c r="S19" s="25"/>
      <c r="T19" s="25"/>
      <c r="U19" s="25"/>
      <c r="V19" s="25"/>
      <c r="W19" s="25"/>
      <c r="X19" s="25"/>
      <c r="Y19" s="25"/>
      <c r="Z19" s="25"/>
      <c r="AA19" s="25"/>
      <c r="AB19" s="25"/>
      <c r="AC19" s="24"/>
      <c r="AD19" s="143"/>
      <c r="AE19" s="143"/>
      <c r="AF19" s="25"/>
      <c r="AG19" s="25"/>
      <c r="AH19" s="25"/>
      <c r="AI19" s="25"/>
      <c r="AJ19" s="25"/>
      <c r="AK19" s="25"/>
      <c r="AL19" s="25"/>
      <c r="AM19" s="25"/>
      <c r="AN19" s="25"/>
      <c r="AO19" s="25"/>
      <c r="AP19" s="25"/>
      <c r="AQ19" s="25"/>
      <c r="AR19" s="25"/>
      <c r="AS19" s="25"/>
      <c r="AT19" s="24"/>
      <c r="AU19" s="176"/>
      <c r="AV19" s="176"/>
      <c r="AW19" s="176"/>
      <c r="AX19" s="87"/>
      <c r="AY19" s="25"/>
      <c r="AZ19" s="25"/>
      <c r="BA19" s="25"/>
      <c r="BB19" s="25"/>
      <c r="BC19" s="25"/>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20.25" customHeight="1">
      <c r="A20" s="21"/>
      <c r="B20" s="21"/>
      <c r="C20" s="44"/>
      <c r="D20" s="44"/>
      <c r="E20" s="44"/>
      <c r="F20" s="24"/>
      <c r="G20" s="25"/>
      <c r="H20" s="92"/>
      <c r="I20" s="92"/>
      <c r="J20" s="92"/>
      <c r="K20" s="92"/>
      <c r="L20" s="92"/>
      <c r="M20" s="92"/>
      <c r="N20" s="92"/>
      <c r="O20" s="92"/>
      <c r="P20" s="25"/>
      <c r="Q20" s="25"/>
      <c r="R20" s="25"/>
      <c r="S20" s="25"/>
      <c r="T20" s="25"/>
      <c r="U20" s="25"/>
      <c r="V20" s="25"/>
      <c r="W20" s="25"/>
      <c r="X20" s="25"/>
      <c r="Y20" s="25"/>
      <c r="Z20" s="25"/>
      <c r="AA20" s="25"/>
      <c r="AB20" s="25"/>
      <c r="AC20" s="24"/>
      <c r="AD20" s="143"/>
      <c r="AE20" s="143"/>
      <c r="AF20" s="25"/>
      <c r="AG20" s="25"/>
      <c r="AH20" s="25"/>
      <c r="AI20" s="25"/>
      <c r="AJ20" s="25"/>
      <c r="AK20" s="25"/>
      <c r="AL20" s="25"/>
      <c r="AM20" s="25"/>
      <c r="AN20" s="25"/>
      <c r="AO20" s="25"/>
      <c r="AP20" s="25"/>
      <c r="AQ20" s="25"/>
      <c r="AR20" s="25"/>
      <c r="AS20" s="25"/>
      <c r="AT20" s="24"/>
      <c r="AU20" s="176"/>
      <c r="AV20" s="176"/>
      <c r="AW20" s="176"/>
      <c r="AX20" s="87" t="s">
        <v>144</v>
      </c>
      <c r="AY20" s="25"/>
      <c r="AZ20" s="25"/>
      <c r="BA20" s="25"/>
      <c r="BB20" s="25"/>
      <c r="BC20" s="25"/>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20.25" customHeight="1">
      <c r="A21" s="21"/>
      <c r="B21" s="21"/>
      <c r="C21" s="122" t="s">
        <v>24</v>
      </c>
      <c r="D21" s="122"/>
      <c r="E21" s="122"/>
      <c r="F21" s="24"/>
      <c r="G21" s="25"/>
      <c r="H21" s="92"/>
      <c r="I21" s="92"/>
      <c r="J21" s="92"/>
      <c r="K21" s="92"/>
      <c r="L21" s="92"/>
      <c r="M21" s="92"/>
      <c r="N21" s="92"/>
      <c r="O21" s="92"/>
      <c r="P21" s="50"/>
      <c r="Q21" s="51"/>
      <c r="R21" s="50"/>
      <c r="S21" s="51"/>
      <c r="T21" s="50"/>
      <c r="U21" s="51"/>
      <c r="V21" s="50"/>
      <c r="W21" s="51"/>
      <c r="X21" s="50"/>
      <c r="Y21" s="51"/>
      <c r="Z21" s="50"/>
      <c r="AA21" s="25"/>
      <c r="AB21" s="25"/>
      <c r="AC21" s="24"/>
      <c r="AD21" s="143"/>
      <c r="AE21" s="143"/>
      <c r="AF21" s="25"/>
      <c r="AG21" s="25"/>
      <c r="AH21" s="25"/>
      <c r="AI21" s="25"/>
      <c r="AJ21" s="25"/>
      <c r="AK21" s="25"/>
      <c r="AL21" s="25"/>
      <c r="AM21" s="25"/>
      <c r="AN21" s="25"/>
      <c r="AO21" s="25"/>
      <c r="AP21" s="25"/>
      <c r="AQ21" s="25"/>
      <c r="AR21" s="25"/>
      <c r="AS21" s="25"/>
      <c r="AT21" s="24"/>
      <c r="AU21" s="24"/>
      <c r="AV21" s="24"/>
      <c r="AW21" s="24"/>
      <c r="AX21" s="87"/>
      <c r="AY21" s="25"/>
      <c r="AZ21" s="25"/>
      <c r="BA21" s="25"/>
      <c r="BB21" s="25"/>
      <c r="BC21" s="25"/>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44"/>
      <c r="D22" s="44"/>
      <c r="E22" s="44"/>
      <c r="F22" s="24"/>
      <c r="G22" s="25"/>
      <c r="H22" s="55"/>
      <c r="I22" s="66"/>
      <c r="J22" s="66"/>
      <c r="K22" s="66"/>
      <c r="L22" s="66"/>
      <c r="M22" s="66"/>
      <c r="N22" s="66"/>
      <c r="O22" s="66"/>
      <c r="P22" s="66"/>
      <c r="Q22" s="66"/>
      <c r="R22" s="66"/>
      <c r="S22" s="66"/>
      <c r="T22" s="66"/>
      <c r="U22" s="66"/>
      <c r="V22" s="66"/>
      <c r="W22" s="66"/>
      <c r="X22" s="66"/>
      <c r="Y22" s="66"/>
      <c r="Z22" s="66"/>
      <c r="AA22" s="66"/>
      <c r="AB22" s="25"/>
      <c r="AC22" s="24"/>
      <c r="AD22" s="143"/>
      <c r="AE22" s="143"/>
      <c r="AF22" s="25"/>
      <c r="AG22" s="25"/>
      <c r="AH22" s="25"/>
      <c r="AI22" s="25"/>
      <c r="AJ22" s="25"/>
      <c r="AK22" s="25"/>
      <c r="AL22" s="25"/>
      <c r="AM22" s="25"/>
      <c r="AN22" s="25"/>
      <c r="AO22" s="25"/>
      <c r="AP22" s="25"/>
      <c r="AQ22" s="25"/>
      <c r="AR22" s="25"/>
      <c r="AS22" s="25"/>
      <c r="AT22" s="25"/>
      <c r="AU22" s="25"/>
      <c r="AV22" s="25"/>
      <c r="AW22" s="25"/>
      <c r="AX22" s="87"/>
      <c r="AY22" s="25"/>
      <c r="AZ22" s="25"/>
      <c r="BA22" s="25"/>
      <c r="BB22" s="25"/>
      <c r="BC22" s="25"/>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23.15">
      <c r="A23" s="21"/>
      <c r="B23" s="21"/>
      <c r="C23" s="44"/>
      <c r="D23" s="44"/>
      <c r="E23" s="44"/>
      <c r="F23" s="24"/>
      <c r="G23" s="25"/>
      <c r="H23" s="66"/>
      <c r="I23" s="66"/>
      <c r="J23" s="66"/>
      <c r="K23" s="66"/>
      <c r="L23" s="66"/>
      <c r="M23" s="66"/>
      <c r="N23" s="66"/>
      <c r="O23" s="66"/>
      <c r="P23" s="93"/>
      <c r="Q23" s="68"/>
      <c r="R23" s="68"/>
      <c r="S23" s="68"/>
      <c r="T23" s="68"/>
      <c r="U23" s="68"/>
      <c r="V23" s="68"/>
      <c r="W23" s="68"/>
      <c r="X23" s="68"/>
      <c r="Y23" s="68"/>
      <c r="Z23" s="68"/>
      <c r="AA23" s="68"/>
      <c r="AB23" s="25"/>
      <c r="AC23" s="24"/>
      <c r="AD23" s="143"/>
      <c r="AE23" s="143"/>
      <c r="AF23" s="25"/>
      <c r="AG23" s="25"/>
      <c r="AH23" s="25"/>
      <c r="AI23" s="25"/>
      <c r="AJ23" s="25"/>
      <c r="AK23" s="25"/>
      <c r="AL23" s="25"/>
      <c r="AM23" s="25"/>
      <c r="AN23" s="25"/>
      <c r="AO23" s="25"/>
      <c r="AP23" s="25"/>
      <c r="AQ23" s="25"/>
      <c r="AR23" s="25"/>
      <c r="AS23" s="25"/>
      <c r="AT23" s="25"/>
      <c r="AU23" s="25"/>
      <c r="AV23" s="25"/>
      <c r="AW23" s="25"/>
      <c r="AX23" s="87"/>
      <c r="AY23" s="25"/>
      <c r="AZ23" s="25"/>
      <c r="BA23" s="25"/>
      <c r="BB23" s="25"/>
      <c r="BC23" s="25"/>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23.15">
      <c r="A24" s="21"/>
      <c r="B24" s="21"/>
      <c r="C24" s="122" t="s">
        <v>25</v>
      </c>
      <c r="D24" s="122"/>
      <c r="E24" s="122"/>
      <c r="F24" s="24"/>
      <c r="G24" s="25"/>
      <c r="H24" s="66"/>
      <c r="I24" s="66"/>
      <c r="J24" s="66"/>
      <c r="K24" s="66"/>
      <c r="L24" s="66"/>
      <c r="M24" s="66"/>
      <c r="N24" s="66"/>
      <c r="O24" s="66"/>
      <c r="P24" s="93"/>
      <c r="Q24" s="71"/>
      <c r="R24" s="71"/>
      <c r="S24" s="71"/>
      <c r="T24" s="71"/>
      <c r="U24" s="71"/>
      <c r="V24" s="71"/>
      <c r="W24" s="71"/>
      <c r="X24" s="71"/>
      <c r="Y24" s="71"/>
      <c r="Z24" s="71"/>
      <c r="AA24" s="71"/>
      <c r="AB24" s="25"/>
      <c r="AC24" s="24"/>
      <c r="AD24" s="143"/>
      <c r="AE24" s="143"/>
      <c r="AF24" s="25"/>
      <c r="AG24" s="25"/>
      <c r="AH24" s="25"/>
      <c r="AI24" s="25"/>
      <c r="AJ24" s="25"/>
      <c r="AK24" s="25"/>
      <c r="AL24" s="25"/>
      <c r="AM24" s="25"/>
      <c r="AN24" s="25"/>
      <c r="AO24" s="25"/>
      <c r="AP24" s="25"/>
      <c r="AQ24" s="25"/>
      <c r="AR24" s="25"/>
      <c r="AS24" s="25"/>
      <c r="AT24" s="25"/>
      <c r="AU24" s="25"/>
      <c r="AV24" s="25"/>
      <c r="AW24" s="25"/>
      <c r="AX24" s="87"/>
      <c r="AY24" s="25"/>
      <c r="AZ24" s="25"/>
      <c r="BA24" s="25"/>
      <c r="BB24" s="25"/>
      <c r="BC24" s="25"/>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19.75">
      <c r="A25" s="21"/>
      <c r="B25" s="21"/>
      <c r="C25" s="44"/>
      <c r="D25" s="44"/>
      <c r="E25" s="44"/>
      <c r="F25" s="24"/>
      <c r="G25" s="25"/>
      <c r="H25" s="178" t="s">
        <v>145</v>
      </c>
      <c r="I25" s="178"/>
      <c r="J25" s="178"/>
      <c r="K25" s="178"/>
      <c r="L25" s="178"/>
      <c r="M25" s="178"/>
      <c r="N25" s="178"/>
      <c r="O25" s="178"/>
      <c r="P25" s="178"/>
      <c r="Q25" s="94"/>
      <c r="R25" s="178" t="s">
        <v>146</v>
      </c>
      <c r="S25" s="178"/>
      <c r="T25" s="178"/>
      <c r="U25" s="178"/>
      <c r="V25" s="178"/>
      <c r="W25" s="178"/>
      <c r="X25" s="178"/>
      <c r="Y25" s="178"/>
      <c r="Z25" s="178"/>
      <c r="AA25" s="178"/>
      <c r="AB25" s="25"/>
      <c r="AC25" s="24"/>
      <c r="AD25" s="143"/>
      <c r="AE25" s="143"/>
      <c r="AF25" s="25"/>
      <c r="AG25" s="25"/>
      <c r="AH25" s="25"/>
      <c r="AI25" s="25"/>
      <c r="AJ25" s="25"/>
      <c r="AK25" s="25"/>
      <c r="AL25" s="25"/>
      <c r="AM25" s="25"/>
      <c r="AN25" s="25"/>
      <c r="AO25" s="25"/>
      <c r="AP25" s="25"/>
      <c r="AQ25" s="25"/>
      <c r="AR25" s="25"/>
      <c r="AS25" s="25"/>
      <c r="AT25" s="25"/>
      <c r="AU25" s="25"/>
      <c r="AV25" s="25"/>
      <c r="AW25" s="25"/>
      <c r="AX25" s="87"/>
      <c r="AY25" s="25"/>
      <c r="AZ25" s="25"/>
      <c r="BA25" s="25"/>
      <c r="BB25" s="25"/>
      <c r="BC25" s="25"/>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19.75">
      <c r="A26" s="21"/>
      <c r="B26" s="21"/>
      <c r="C26" s="44"/>
      <c r="D26" s="44"/>
      <c r="E26" s="44"/>
      <c r="F26" s="24"/>
      <c r="G26" s="25"/>
      <c r="H26" s="178"/>
      <c r="I26" s="178"/>
      <c r="J26" s="178"/>
      <c r="K26" s="178"/>
      <c r="L26" s="178"/>
      <c r="M26" s="178"/>
      <c r="N26" s="178"/>
      <c r="O26" s="178"/>
      <c r="P26" s="178"/>
      <c r="Q26" s="94"/>
      <c r="R26" s="178"/>
      <c r="S26" s="178"/>
      <c r="T26" s="178"/>
      <c r="U26" s="178"/>
      <c r="V26" s="178"/>
      <c r="W26" s="178"/>
      <c r="X26" s="178"/>
      <c r="Y26" s="178"/>
      <c r="Z26" s="178"/>
      <c r="AA26" s="178"/>
      <c r="AB26" s="25"/>
      <c r="AC26" s="24"/>
      <c r="AD26" s="143"/>
      <c r="AE26" s="143"/>
      <c r="AF26" s="25"/>
      <c r="AG26" s="25"/>
      <c r="AH26" s="25"/>
      <c r="AI26" s="25"/>
      <c r="AJ26" s="25"/>
      <c r="AK26" s="25"/>
      <c r="AL26" s="25"/>
      <c r="AM26" s="25"/>
      <c r="AN26" s="25"/>
      <c r="AO26" s="25"/>
      <c r="AP26" s="25"/>
      <c r="AQ26" s="25"/>
      <c r="AR26" s="25"/>
      <c r="AS26" s="25"/>
      <c r="AT26" s="25"/>
      <c r="AU26" s="25"/>
      <c r="AV26" s="25"/>
      <c r="AW26" s="25"/>
      <c r="AX26" s="87"/>
      <c r="AY26" s="25"/>
      <c r="AZ26" s="25"/>
      <c r="BA26" s="25"/>
      <c r="BB26" s="25"/>
      <c r="BC26" s="25"/>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19.75">
      <c r="A27" s="21"/>
      <c r="B27" s="21"/>
      <c r="C27" s="122" t="s">
        <v>26</v>
      </c>
      <c r="D27" s="122"/>
      <c r="E27" s="122"/>
      <c r="F27" s="24"/>
      <c r="G27" s="24"/>
      <c r="H27" s="24"/>
      <c r="I27" s="24"/>
      <c r="J27" s="24"/>
      <c r="K27" s="24"/>
      <c r="L27" s="24"/>
      <c r="M27" s="24"/>
      <c r="N27" s="24"/>
      <c r="O27" s="24"/>
      <c r="P27" s="24"/>
      <c r="Q27" s="24"/>
      <c r="R27" s="24"/>
      <c r="S27" s="24"/>
      <c r="T27" s="24"/>
      <c r="U27" s="24"/>
      <c r="V27" s="24"/>
      <c r="W27" s="24"/>
      <c r="X27" s="24"/>
      <c r="Y27" s="24"/>
      <c r="Z27" s="24"/>
      <c r="AA27" s="24"/>
      <c r="AB27" s="24"/>
      <c r="AC27" s="24"/>
      <c r="AD27" s="143"/>
      <c r="AE27" s="143"/>
      <c r="AF27" s="25"/>
      <c r="AG27" s="25"/>
      <c r="AH27" s="25"/>
      <c r="AI27" s="25"/>
      <c r="AJ27" s="25"/>
      <c r="AK27" s="25"/>
      <c r="AL27" s="25"/>
      <c r="AM27" s="25"/>
      <c r="AN27" s="25"/>
      <c r="AO27" s="25"/>
      <c r="AP27" s="25"/>
      <c r="AQ27" s="25"/>
      <c r="AR27" s="25"/>
      <c r="AS27" s="25"/>
      <c r="AT27" s="25"/>
      <c r="AU27" s="25"/>
      <c r="AV27" s="25"/>
      <c r="AW27" s="25"/>
      <c r="AX27" s="87"/>
      <c r="AY27" s="25"/>
      <c r="AZ27" s="25"/>
      <c r="BA27" s="25"/>
      <c r="BB27" s="25"/>
      <c r="BC27" s="25"/>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25"/>
      <c r="H28" s="121" t="s">
        <v>147</v>
      </c>
      <c r="I28" s="121"/>
      <c r="J28" s="121"/>
      <c r="K28" s="25"/>
      <c r="L28" s="25"/>
      <c r="M28" s="25"/>
      <c r="N28" s="25"/>
      <c r="O28" s="25"/>
      <c r="P28" s="25"/>
      <c r="Q28" s="77"/>
      <c r="R28" s="25"/>
      <c r="S28" s="25"/>
      <c r="T28" s="25"/>
      <c r="U28" s="25"/>
      <c r="V28" s="25"/>
      <c r="W28" s="25"/>
      <c r="X28" s="25"/>
      <c r="Y28" s="25"/>
      <c r="Z28" s="25"/>
      <c r="AA28" s="25"/>
      <c r="AB28" s="25"/>
      <c r="AC28" s="24"/>
      <c r="AD28" s="143"/>
      <c r="AE28" s="143"/>
      <c r="AF28" s="25"/>
      <c r="AG28" s="25"/>
      <c r="AH28" s="25"/>
      <c r="AI28" s="25"/>
      <c r="AJ28" s="25"/>
      <c r="AK28" s="25"/>
      <c r="AL28" s="25"/>
      <c r="AM28" s="25"/>
      <c r="AN28" s="25"/>
      <c r="AO28" s="25"/>
      <c r="AP28" s="25"/>
      <c r="AQ28" s="25"/>
      <c r="AR28" s="25"/>
      <c r="AS28" s="25"/>
      <c r="AT28" s="25"/>
      <c r="AU28" s="25"/>
      <c r="AV28" s="25"/>
      <c r="AW28" s="25"/>
      <c r="AX28" s="87"/>
      <c r="AY28" s="25"/>
      <c r="AZ28" s="25"/>
      <c r="BA28" s="25"/>
      <c r="BB28" s="25"/>
      <c r="BC28" s="25"/>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25"/>
      <c r="H29" s="121"/>
      <c r="I29" s="121"/>
      <c r="J29" s="121"/>
      <c r="K29" s="25"/>
      <c r="L29" s="25"/>
      <c r="M29" s="25"/>
      <c r="N29" s="25"/>
      <c r="O29" s="25"/>
      <c r="P29" s="25"/>
      <c r="Q29" s="25"/>
      <c r="R29" s="25"/>
      <c r="S29" s="25"/>
      <c r="T29" s="25"/>
      <c r="U29" s="25"/>
      <c r="V29" s="25"/>
      <c r="W29" s="25"/>
      <c r="X29" s="25"/>
      <c r="Y29" s="25"/>
      <c r="Z29" s="25"/>
      <c r="AA29" s="25"/>
      <c r="AB29" s="25"/>
      <c r="AC29" s="24"/>
      <c r="AD29" s="143"/>
      <c r="AE29" s="143"/>
      <c r="AF29" s="25"/>
      <c r="AG29" s="25"/>
      <c r="AH29" s="25"/>
      <c r="AI29" s="25"/>
      <c r="AJ29" s="25"/>
      <c r="AK29" s="25"/>
      <c r="AL29" s="25"/>
      <c r="AM29" s="25"/>
      <c r="AN29" s="25"/>
      <c r="AO29" s="25"/>
      <c r="AP29" s="25"/>
      <c r="AQ29" s="25"/>
      <c r="AR29" s="25"/>
      <c r="AS29" s="25"/>
      <c r="AT29" s="25"/>
      <c r="AU29" s="25"/>
      <c r="AV29" s="25"/>
      <c r="AW29" s="25"/>
      <c r="AX29" s="87"/>
      <c r="AY29" s="25"/>
      <c r="AZ29" s="25"/>
      <c r="BA29" s="25"/>
      <c r="BB29" s="25"/>
      <c r="BC29" s="25"/>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25"/>
      <c r="H30" s="25"/>
      <c r="I30" s="25"/>
      <c r="J30" s="25"/>
      <c r="K30" s="25"/>
      <c r="L30" s="25"/>
      <c r="M30" s="25"/>
      <c r="N30" s="25"/>
      <c r="O30" s="25"/>
      <c r="P30" s="25"/>
      <c r="Q30" s="25"/>
      <c r="R30" s="25"/>
      <c r="S30" s="25"/>
      <c r="T30" s="25"/>
      <c r="U30" s="25"/>
      <c r="V30" s="25"/>
      <c r="W30" s="25"/>
      <c r="X30" s="25"/>
      <c r="Y30" s="25"/>
      <c r="Z30" s="25"/>
      <c r="AA30" s="25"/>
      <c r="AB30" s="25"/>
      <c r="AC30" s="24"/>
      <c r="AD30" s="143"/>
      <c r="AE30" s="143"/>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25"/>
      <c r="H31" s="25"/>
      <c r="I31" s="25"/>
      <c r="J31" s="25"/>
      <c r="K31" s="25"/>
      <c r="L31" s="25"/>
      <c r="M31" s="25"/>
      <c r="N31" s="25"/>
      <c r="O31" s="25"/>
      <c r="P31" s="25"/>
      <c r="Q31" s="25"/>
      <c r="R31" s="25"/>
      <c r="S31" s="25"/>
      <c r="T31" s="25"/>
      <c r="U31" s="25"/>
      <c r="V31" s="25"/>
      <c r="W31" s="25"/>
      <c r="X31" s="25"/>
      <c r="Y31" s="25"/>
      <c r="Z31" s="25"/>
      <c r="AA31" s="25"/>
      <c r="AB31" s="25"/>
      <c r="AC31" s="24"/>
      <c r="AD31" s="143"/>
      <c r="AE31" s="143"/>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25"/>
      <c r="H32" s="25"/>
      <c r="I32" s="25"/>
      <c r="J32" s="25"/>
      <c r="K32" s="25"/>
      <c r="L32" s="25"/>
      <c r="M32" s="25"/>
      <c r="N32" s="25"/>
      <c r="O32" s="25"/>
      <c r="P32" s="25"/>
      <c r="Q32" s="25"/>
      <c r="R32" s="25"/>
      <c r="S32" s="25"/>
      <c r="T32" s="25"/>
      <c r="U32" s="25"/>
      <c r="V32" s="25"/>
      <c r="W32" s="25"/>
      <c r="X32" s="25"/>
      <c r="Y32" s="25"/>
      <c r="Z32" s="25"/>
      <c r="AA32" s="25"/>
      <c r="AB32" s="25"/>
      <c r="AC32" s="24"/>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25"/>
      <c r="H33" s="25"/>
      <c r="I33" s="25"/>
      <c r="J33" s="25"/>
      <c r="K33" s="25"/>
      <c r="L33" s="25"/>
      <c r="M33" s="25"/>
      <c r="N33" s="25"/>
      <c r="O33" s="25"/>
      <c r="P33" s="25"/>
      <c r="Q33" s="25"/>
      <c r="R33" s="25"/>
      <c r="S33" s="25"/>
      <c r="T33" s="25"/>
      <c r="U33" s="25"/>
      <c r="V33" s="25"/>
      <c r="W33" s="25"/>
      <c r="X33" s="25"/>
      <c r="Y33" s="25"/>
      <c r="Z33" s="25"/>
      <c r="AA33" s="25"/>
      <c r="AB33" s="25"/>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25"/>
      <c r="H34" s="25"/>
      <c r="I34" s="25"/>
      <c r="J34" s="25"/>
      <c r="K34" s="25"/>
      <c r="L34" s="25"/>
      <c r="M34" s="25"/>
      <c r="N34" s="25"/>
      <c r="O34" s="25"/>
      <c r="P34" s="25"/>
      <c r="Q34" s="25"/>
      <c r="R34" s="25"/>
      <c r="S34" s="25"/>
      <c r="T34" s="25"/>
      <c r="U34" s="25"/>
      <c r="V34" s="25"/>
      <c r="W34" s="25"/>
      <c r="X34" s="25"/>
      <c r="Y34" s="25"/>
      <c r="Z34" s="25"/>
      <c r="AA34" s="25"/>
      <c r="AB34" s="25"/>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25"/>
      <c r="H35" s="25"/>
      <c r="I35" s="25"/>
      <c r="J35" s="25"/>
      <c r="K35" s="25"/>
      <c r="L35" s="25"/>
      <c r="M35" s="25"/>
      <c r="N35" s="25"/>
      <c r="O35" s="25"/>
      <c r="P35" s="25"/>
      <c r="Q35" s="25"/>
      <c r="R35" s="25"/>
      <c r="S35" s="25"/>
      <c r="T35" s="25"/>
      <c r="U35" s="25"/>
      <c r="V35" s="25"/>
      <c r="W35" s="25"/>
      <c r="X35" s="25"/>
      <c r="Y35" s="25"/>
      <c r="Z35" s="25"/>
      <c r="AA35" s="25"/>
      <c r="AB35" s="25"/>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25"/>
      <c r="H36" s="25"/>
      <c r="I36" s="25"/>
      <c r="J36" s="25"/>
      <c r="K36" s="25"/>
      <c r="L36" s="25"/>
      <c r="M36" s="25"/>
      <c r="N36" s="25"/>
      <c r="O36" s="25"/>
      <c r="P36" s="25"/>
      <c r="Q36" s="25"/>
      <c r="R36" s="25"/>
      <c r="S36" s="25"/>
      <c r="T36" s="25"/>
      <c r="U36" s="25"/>
      <c r="V36" s="25"/>
      <c r="W36" s="25"/>
      <c r="X36" s="25"/>
      <c r="Y36" s="25"/>
      <c r="Z36" s="25"/>
      <c r="AA36" s="25"/>
      <c r="AB36" s="25"/>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25"/>
      <c r="H37" s="25"/>
      <c r="I37" s="25"/>
      <c r="J37" s="25"/>
      <c r="K37" s="25"/>
      <c r="L37" s="25"/>
      <c r="M37" s="25"/>
      <c r="N37" s="25"/>
      <c r="O37" s="25"/>
      <c r="P37" s="25"/>
      <c r="Q37" s="25"/>
      <c r="R37" s="25"/>
      <c r="S37" s="25"/>
      <c r="T37" s="25"/>
      <c r="U37" s="25"/>
      <c r="V37" s="25"/>
      <c r="W37" s="25"/>
      <c r="X37" s="25"/>
      <c r="Y37" s="25"/>
      <c r="Z37" s="25"/>
      <c r="AA37" s="25"/>
      <c r="AB37" s="25"/>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row>
    <row r="53" spans="1:82">
      <c r="A53" s="42"/>
    </row>
    <row r="54" spans="1:82">
      <c r="A54" s="42"/>
    </row>
    <row r="55" spans="1:82">
      <c r="A55" s="42"/>
    </row>
    <row r="56" spans="1:82">
      <c r="A56" s="42"/>
    </row>
    <row r="57" spans="1:82">
      <c r="A57" s="42"/>
    </row>
    <row r="58" spans="1:82">
      <c r="A58" s="42"/>
    </row>
    <row r="59" spans="1:82">
      <c r="A59" s="42"/>
    </row>
    <row r="60" spans="1:82">
      <c r="A60" s="42"/>
    </row>
    <row r="61" spans="1:82">
      <c r="A61" s="42"/>
    </row>
    <row r="62" spans="1:82">
      <c r="A62" s="42"/>
    </row>
    <row r="63" spans="1:82">
      <c r="A63" s="42"/>
    </row>
    <row r="64" spans="1:82">
      <c r="A64" s="42"/>
    </row>
    <row r="65" spans="1:1">
      <c r="A65" s="42"/>
    </row>
    <row r="66" spans="1:1">
      <c r="A66" s="42"/>
    </row>
    <row r="67" spans="1:1">
      <c r="A67" s="42"/>
    </row>
    <row r="68" spans="1:1">
      <c r="A68" s="42"/>
    </row>
    <row r="69" spans="1:1">
      <c r="A69" s="42"/>
    </row>
    <row r="70" spans="1:1">
      <c r="A70" s="42"/>
    </row>
    <row r="71" spans="1:1">
      <c r="A71" s="42"/>
    </row>
    <row r="72" spans="1:1">
      <c r="A72" s="42"/>
    </row>
    <row r="73" spans="1:1">
      <c r="A73" s="42"/>
    </row>
    <row r="74" spans="1:1">
      <c r="A74" s="42"/>
    </row>
    <row r="75" spans="1:1">
      <c r="A75" s="42"/>
    </row>
    <row r="76" spans="1:1">
      <c r="A76" s="42"/>
    </row>
    <row r="77" spans="1:1">
      <c r="A77" s="42"/>
    </row>
    <row r="78" spans="1:1">
      <c r="A78" s="42"/>
    </row>
    <row r="79" spans="1:1">
      <c r="A79" s="42"/>
    </row>
    <row r="80" spans="1:1">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sheetData>
  <mergeCells count="23">
    <mergeCell ref="G2:I3"/>
    <mergeCell ref="C12:E12"/>
    <mergeCell ref="C15:E15"/>
    <mergeCell ref="C18:E18"/>
    <mergeCell ref="C21:E21"/>
    <mergeCell ref="C24:E24"/>
    <mergeCell ref="C27:E27"/>
    <mergeCell ref="H5:J6"/>
    <mergeCell ref="AD5:AE31"/>
    <mergeCell ref="H14:I14"/>
    <mergeCell ref="H25:P26"/>
    <mergeCell ref="R25:AA26"/>
    <mergeCell ref="H28:J29"/>
    <mergeCell ref="AF5:AJ6"/>
    <mergeCell ref="AU5:AW6"/>
    <mergeCell ref="AX5:BB6"/>
    <mergeCell ref="H8:I8"/>
    <mergeCell ref="AU8:AW20"/>
    <mergeCell ref="H9:I9"/>
    <mergeCell ref="H10:I10"/>
    <mergeCell ref="H11:I11"/>
    <mergeCell ref="H12:I12"/>
    <mergeCell ref="H13:I13"/>
  </mergeCells>
  <conditionalFormatting sqref="Q23:AA23">
    <cfRule type="expression" dxfId="9" priority="2">
      <formula>COUNTIF($H23:$AB23, Q23)&gt;1</formula>
    </cfRule>
  </conditionalFormatting>
  <hyperlinks>
    <hyperlink ref="C15" location="'Data recording'!G2" display="Data recording" xr:uid="{88461545-3F77-4DB7-A497-CFA543EE3F39}"/>
    <hyperlink ref="C18" location="'Composite scale'!G2" display="Composite scale" xr:uid="{CAAD0563-EECC-4B77-A681-C614AB83B1A1}"/>
    <hyperlink ref="C21" location="Visulization!G2" display="Visulization" xr:uid="{DC71E6EC-8FA9-4778-94FF-C7F7D953563C}"/>
    <hyperlink ref="C24" location="Import!G2" display="Import data" xr:uid="{A113E42C-9569-4199-8E25-9F02BAE2F8A4}"/>
    <hyperlink ref="C27" location="Subgroups!G2" display="Subgroups" xr:uid="{89C6E567-3516-4369-A6F5-33E7B7B7EAF5}"/>
    <hyperlink ref="B2" location="Help!G2" display="Help" xr:uid="{264F5FDB-EAFE-44C4-8A12-1E9235594581}"/>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1" id="{0CEDA7B7-59BB-4DEF-B8B3-CB2B6BA58308}">
            <x14:iconSet iconSet="3Symbols2" showValue="0" custom="1">
              <x14:cfvo type="percent">
                <xm:f>0</xm:f>
              </x14:cfvo>
              <x14:cfvo type="percent">
                <xm:f>0</xm:f>
              </x14:cfvo>
              <x14:cfvo type="percent">
                <xm:f>1</xm:f>
              </x14:cfvo>
              <x14:cfIcon iconSet="NoIcons" iconId="0"/>
              <x14:cfIcon iconSet="NoIcons" iconId="0"/>
              <x14:cfIcon iconSet="3Symbols2" iconId="2"/>
            </x14:iconSet>
          </x14:cfRule>
          <xm:sqref>Q24:AA24</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54FEB-7072-42E9-B631-F834C5480A45}">
  <sheetPr codeName="Sheet9"/>
  <dimension ref="A1:CD180"/>
  <sheetViews>
    <sheetView zoomScaleNormal="100" workbookViewId="0">
      <selection activeCell="L44" sqref="L44"/>
    </sheetView>
  </sheetViews>
  <sheetFormatPr defaultRowHeight="14.6"/>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30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ht="15" customHeight="1">
      <c r="A4" s="19"/>
      <c r="B4" s="21"/>
      <c r="C4" s="21"/>
      <c r="D4" s="21"/>
      <c r="E4" s="21"/>
      <c r="F4" s="24"/>
      <c r="G4" s="75"/>
      <c r="H4" s="75"/>
      <c r="I4" s="75"/>
      <c r="J4" s="76"/>
      <c r="K4" s="75"/>
      <c r="L4" s="75"/>
      <c r="M4" s="75"/>
      <c r="N4" s="75"/>
      <c r="O4" s="75"/>
      <c r="P4" s="75"/>
      <c r="Q4" s="75"/>
      <c r="R4" s="75"/>
      <c r="S4" s="75"/>
      <c r="T4" s="75"/>
      <c r="U4" s="75"/>
      <c r="V4" s="75"/>
      <c r="W4" s="75"/>
      <c r="X4" s="75"/>
      <c r="Y4" s="75"/>
      <c r="Z4" s="75"/>
      <c r="AA4" s="75"/>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ht="15" customHeight="1">
      <c r="A5" s="19"/>
      <c r="B5" s="21"/>
      <c r="C5" s="21"/>
      <c r="D5" s="21"/>
      <c r="E5" s="21"/>
      <c r="F5" s="24"/>
      <c r="G5" s="183" t="s">
        <v>92</v>
      </c>
      <c r="H5" s="183"/>
      <c r="I5" s="183"/>
      <c r="J5" s="183"/>
      <c r="K5" s="183"/>
      <c r="L5" s="183"/>
      <c r="M5" s="183"/>
      <c r="N5" s="183"/>
      <c r="O5" s="183"/>
      <c r="P5" s="183"/>
      <c r="Q5" s="183"/>
      <c r="R5" s="183"/>
      <c r="S5" s="183"/>
      <c r="T5" s="183"/>
      <c r="U5" s="183"/>
      <c r="V5" s="183"/>
      <c r="W5" s="183"/>
      <c r="X5" s="77"/>
      <c r="Y5" s="77"/>
      <c r="Z5" s="77"/>
      <c r="AA5" s="77"/>
      <c r="AB5" s="25"/>
      <c r="AC5" s="24"/>
      <c r="AD5" s="142" t="s">
        <v>34</v>
      </c>
      <c r="AE5" s="18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c r="A6" s="19"/>
      <c r="B6" s="21"/>
      <c r="C6" s="21"/>
      <c r="D6" s="21"/>
      <c r="E6" s="21"/>
      <c r="F6" s="24"/>
      <c r="G6" s="183"/>
      <c r="H6" s="183"/>
      <c r="I6" s="183"/>
      <c r="J6" s="183"/>
      <c r="K6" s="183"/>
      <c r="L6" s="183"/>
      <c r="M6" s="183"/>
      <c r="N6" s="183"/>
      <c r="O6" s="183"/>
      <c r="P6" s="183"/>
      <c r="Q6" s="183"/>
      <c r="R6" s="183"/>
      <c r="S6" s="183"/>
      <c r="T6" s="183"/>
      <c r="U6" s="183"/>
      <c r="V6" s="183"/>
      <c r="W6" s="183"/>
      <c r="X6" s="185" t="s">
        <v>93</v>
      </c>
      <c r="Y6" s="186"/>
      <c r="Z6" s="186"/>
      <c r="AA6" s="186"/>
      <c r="AB6" s="25"/>
      <c r="AC6" s="24"/>
      <c r="AD6" s="184"/>
      <c r="AE6" s="18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c r="A7" s="21"/>
      <c r="B7" s="21"/>
      <c r="C7" s="21"/>
      <c r="D7" s="21"/>
      <c r="E7" s="21"/>
      <c r="F7" s="24"/>
      <c r="G7" s="183"/>
      <c r="H7" s="183"/>
      <c r="I7" s="183"/>
      <c r="J7" s="183"/>
      <c r="K7" s="183"/>
      <c r="L7" s="183"/>
      <c r="M7" s="183"/>
      <c r="N7" s="183"/>
      <c r="O7" s="183"/>
      <c r="P7" s="183"/>
      <c r="Q7" s="183"/>
      <c r="R7" s="183"/>
      <c r="S7" s="183"/>
      <c r="T7" s="183"/>
      <c r="U7" s="183"/>
      <c r="V7" s="183"/>
      <c r="W7" s="183"/>
      <c r="X7" s="46"/>
      <c r="Y7" s="46"/>
      <c r="Z7" s="46"/>
      <c r="AA7" s="46"/>
      <c r="AB7" s="25"/>
      <c r="AC7" s="24"/>
      <c r="AD7" s="184"/>
      <c r="AE7" s="18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c r="A8" s="21"/>
      <c r="B8" s="21"/>
      <c r="C8" s="21"/>
      <c r="D8" s="21"/>
      <c r="E8" s="21"/>
      <c r="F8" s="24"/>
      <c r="G8" s="78" t="s">
        <v>48</v>
      </c>
      <c r="H8" s="78" t="s">
        <v>49</v>
      </c>
      <c r="I8" s="79" t="s">
        <v>50</v>
      </c>
      <c r="J8" s="78" t="s">
        <v>51</v>
      </c>
      <c r="K8" s="79" t="s">
        <v>52</v>
      </c>
      <c r="L8" s="78" t="s">
        <v>53</v>
      </c>
      <c r="M8" s="79" t="s">
        <v>54</v>
      </c>
      <c r="N8" s="78" t="s">
        <v>55</v>
      </c>
      <c r="O8" s="78" t="s">
        <v>56</v>
      </c>
      <c r="P8" s="79" t="s">
        <v>57</v>
      </c>
      <c r="Q8" s="80" t="s">
        <v>94</v>
      </c>
      <c r="R8" s="79" t="s">
        <v>66</v>
      </c>
      <c r="S8" s="79" t="s">
        <v>67</v>
      </c>
      <c r="T8" s="79" t="s">
        <v>68</v>
      </c>
      <c r="U8" s="79" t="s">
        <v>69</v>
      </c>
      <c r="V8" s="79" t="s">
        <v>70</v>
      </c>
      <c r="W8" s="79" t="s">
        <v>71</v>
      </c>
      <c r="X8" s="79" t="s">
        <v>72</v>
      </c>
      <c r="Y8" s="79" t="s">
        <v>73</v>
      </c>
      <c r="Z8" s="79" t="s">
        <v>74</v>
      </c>
      <c r="AA8" s="79" t="s">
        <v>75</v>
      </c>
      <c r="AB8" s="25"/>
      <c r="AC8" s="24"/>
      <c r="AD8" s="184"/>
      <c r="AE8" s="18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c r="A9" s="21"/>
      <c r="B9" s="21"/>
      <c r="C9" s="21"/>
      <c r="D9" s="21"/>
      <c r="E9" s="21"/>
      <c r="F9" s="24"/>
      <c r="G9" s="77">
        <v>1</v>
      </c>
      <c r="H9" s="77">
        <v>2</v>
      </c>
      <c r="I9" s="77">
        <v>3</v>
      </c>
      <c r="J9" s="77">
        <v>4</v>
      </c>
      <c r="K9" s="77">
        <v>5</v>
      </c>
      <c r="L9" s="77">
        <v>6</v>
      </c>
      <c r="M9" s="77">
        <v>7</v>
      </c>
      <c r="N9" s="77">
        <v>8</v>
      </c>
      <c r="O9" s="77">
        <v>9</v>
      </c>
      <c r="P9" s="77">
        <v>10</v>
      </c>
      <c r="Q9" s="80" t="s">
        <v>95</v>
      </c>
      <c r="R9" s="77">
        <f>IFERROR(INDEX($AE$68:$AN$68, 1, MATCH(AE$68, $G9:$P9, 0)), "")</f>
        <v>1</v>
      </c>
      <c r="S9" s="77">
        <f t="shared" ref="S9:AA24" si="0">IFERROR(INDEX($AE$68:$AN$68, 1, MATCH(AF$68, $G9:$P9, 0)), "")</f>
        <v>2</v>
      </c>
      <c r="T9" s="77">
        <f t="shared" si="0"/>
        <v>3</v>
      </c>
      <c r="U9" s="77">
        <f t="shared" si="0"/>
        <v>4</v>
      </c>
      <c r="V9" s="77">
        <f t="shared" si="0"/>
        <v>5</v>
      </c>
      <c r="W9" s="77">
        <f t="shared" si="0"/>
        <v>6</v>
      </c>
      <c r="X9" s="77">
        <f t="shared" si="0"/>
        <v>7</v>
      </c>
      <c r="Y9" s="77">
        <f t="shared" si="0"/>
        <v>8</v>
      </c>
      <c r="Z9" s="77">
        <f t="shared" si="0"/>
        <v>9</v>
      </c>
      <c r="AA9" s="77">
        <f t="shared" si="0"/>
        <v>10</v>
      </c>
      <c r="AB9" s="25"/>
      <c r="AC9" s="24"/>
      <c r="AD9" s="184"/>
      <c r="AE9" s="18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c r="A10" s="21"/>
      <c r="B10" s="21"/>
      <c r="C10" s="21"/>
      <c r="D10" s="21"/>
      <c r="E10" s="21"/>
      <c r="F10" s="24"/>
      <c r="G10" s="77">
        <v>9</v>
      </c>
      <c r="H10" s="77">
        <v>8</v>
      </c>
      <c r="I10" s="77">
        <v>7</v>
      </c>
      <c r="J10" s="77">
        <v>6</v>
      </c>
      <c r="K10" s="77">
        <v>5</v>
      </c>
      <c r="L10" s="77">
        <v>4</v>
      </c>
      <c r="M10" s="77">
        <v>3</v>
      </c>
      <c r="N10" s="77">
        <v>2</v>
      </c>
      <c r="O10" s="77">
        <v>1</v>
      </c>
      <c r="P10" s="77">
        <v>10</v>
      </c>
      <c r="Q10" s="80" t="s">
        <v>96</v>
      </c>
      <c r="R10" s="77">
        <f t="shared" ref="R10:AA48" si="1">IFERROR(INDEX($AE$68:$AN$68, 1, MATCH(AE$68, $G10:$P10, 0)), "")</f>
        <v>9</v>
      </c>
      <c r="S10" s="77">
        <f t="shared" si="0"/>
        <v>8</v>
      </c>
      <c r="T10" s="77">
        <f t="shared" si="0"/>
        <v>7</v>
      </c>
      <c r="U10" s="77">
        <f t="shared" si="0"/>
        <v>6</v>
      </c>
      <c r="V10" s="77">
        <f t="shared" si="0"/>
        <v>5</v>
      </c>
      <c r="W10" s="77">
        <f t="shared" si="0"/>
        <v>4</v>
      </c>
      <c r="X10" s="77">
        <f t="shared" si="0"/>
        <v>3</v>
      </c>
      <c r="Y10" s="77">
        <f t="shared" si="0"/>
        <v>2</v>
      </c>
      <c r="Z10" s="77">
        <f t="shared" si="0"/>
        <v>1</v>
      </c>
      <c r="AA10" s="77">
        <f t="shared" si="0"/>
        <v>10</v>
      </c>
      <c r="AB10" s="25"/>
      <c r="AC10" s="24"/>
      <c r="AD10" s="184"/>
      <c r="AE10" s="18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c r="A11" s="26"/>
      <c r="B11" s="27"/>
      <c r="C11" s="27"/>
      <c r="D11" s="27"/>
      <c r="E11" s="28"/>
      <c r="F11" s="24"/>
      <c r="G11" s="77">
        <v>9</v>
      </c>
      <c r="H11" s="77">
        <v>8</v>
      </c>
      <c r="I11" s="77">
        <v>7</v>
      </c>
      <c r="J11" s="77">
        <v>5</v>
      </c>
      <c r="K11" s="77">
        <v>6</v>
      </c>
      <c r="L11" s="77">
        <v>10</v>
      </c>
      <c r="M11" s="77">
        <v>4</v>
      </c>
      <c r="N11" s="77">
        <v>1</v>
      </c>
      <c r="O11" s="77">
        <v>2</v>
      </c>
      <c r="P11" s="77">
        <v>3</v>
      </c>
      <c r="Q11" s="80" t="s">
        <v>97</v>
      </c>
      <c r="R11" s="77">
        <f t="shared" si="1"/>
        <v>8</v>
      </c>
      <c r="S11" s="77">
        <f t="shared" si="0"/>
        <v>9</v>
      </c>
      <c r="T11" s="77">
        <f t="shared" si="0"/>
        <v>10</v>
      </c>
      <c r="U11" s="77">
        <f t="shared" si="0"/>
        <v>7</v>
      </c>
      <c r="V11" s="77">
        <f t="shared" si="0"/>
        <v>4</v>
      </c>
      <c r="W11" s="77">
        <f t="shared" si="0"/>
        <v>5</v>
      </c>
      <c r="X11" s="77">
        <f t="shared" si="0"/>
        <v>3</v>
      </c>
      <c r="Y11" s="77">
        <f t="shared" si="0"/>
        <v>2</v>
      </c>
      <c r="Z11" s="77">
        <f t="shared" si="0"/>
        <v>1</v>
      </c>
      <c r="AA11" s="77">
        <f t="shared" si="0"/>
        <v>6</v>
      </c>
      <c r="AB11" s="25"/>
      <c r="AC11" s="24"/>
      <c r="AD11" s="184"/>
      <c r="AE11" s="18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0.6">
      <c r="A12" s="29"/>
      <c r="B12" s="30"/>
      <c r="C12" s="119" t="s">
        <v>19</v>
      </c>
      <c r="D12" s="119"/>
      <c r="E12" s="120"/>
      <c r="F12" s="24"/>
      <c r="G12" s="77">
        <v>3</v>
      </c>
      <c r="H12" s="77">
        <v>6</v>
      </c>
      <c r="I12" s="77">
        <v>5</v>
      </c>
      <c r="J12" s="77">
        <v>7</v>
      </c>
      <c r="K12" s="77">
        <v>8</v>
      </c>
      <c r="L12" s="77">
        <v>4</v>
      </c>
      <c r="M12" s="77">
        <v>1</v>
      </c>
      <c r="N12" s="77">
        <v>2</v>
      </c>
      <c r="O12" s="77">
        <v>9</v>
      </c>
      <c r="P12" s="77">
        <v>10</v>
      </c>
      <c r="Q12" s="80" t="s">
        <v>98</v>
      </c>
      <c r="R12" s="77">
        <f t="shared" si="1"/>
        <v>7</v>
      </c>
      <c r="S12" s="77">
        <f t="shared" si="0"/>
        <v>8</v>
      </c>
      <c r="T12" s="77">
        <f t="shared" si="0"/>
        <v>1</v>
      </c>
      <c r="U12" s="77">
        <f t="shared" si="0"/>
        <v>6</v>
      </c>
      <c r="V12" s="77">
        <f t="shared" si="0"/>
        <v>3</v>
      </c>
      <c r="W12" s="77">
        <f t="shared" si="0"/>
        <v>2</v>
      </c>
      <c r="X12" s="77">
        <f t="shared" si="0"/>
        <v>4</v>
      </c>
      <c r="Y12" s="77">
        <f t="shared" si="0"/>
        <v>5</v>
      </c>
      <c r="Z12" s="77">
        <f t="shared" si="0"/>
        <v>9</v>
      </c>
      <c r="AA12" s="77">
        <f t="shared" si="0"/>
        <v>10</v>
      </c>
      <c r="AB12" s="25"/>
      <c r="AC12" s="24"/>
      <c r="AD12" s="184"/>
      <c r="AE12" s="18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0.6">
      <c r="A13" s="31"/>
      <c r="B13" s="32"/>
      <c r="C13" s="33"/>
      <c r="D13" s="32"/>
      <c r="E13" s="34"/>
      <c r="F13" s="24"/>
      <c r="G13" s="77">
        <v>1</v>
      </c>
      <c r="H13" s="77">
        <v>2</v>
      </c>
      <c r="I13" s="77">
        <v>3</v>
      </c>
      <c r="J13" s="77">
        <v>4</v>
      </c>
      <c r="K13" s="77">
        <v>5</v>
      </c>
      <c r="L13" s="77">
        <v>6</v>
      </c>
      <c r="M13" s="77">
        <v>7</v>
      </c>
      <c r="N13" s="77">
        <v>8</v>
      </c>
      <c r="O13" s="77">
        <v>9</v>
      </c>
      <c r="P13" s="77">
        <v>10</v>
      </c>
      <c r="Q13" s="80" t="s">
        <v>99</v>
      </c>
      <c r="R13" s="77">
        <f t="shared" si="1"/>
        <v>1</v>
      </c>
      <c r="S13" s="77">
        <f t="shared" si="0"/>
        <v>2</v>
      </c>
      <c r="T13" s="77">
        <f t="shared" si="0"/>
        <v>3</v>
      </c>
      <c r="U13" s="77">
        <f t="shared" si="0"/>
        <v>4</v>
      </c>
      <c r="V13" s="77">
        <f t="shared" si="0"/>
        <v>5</v>
      </c>
      <c r="W13" s="77">
        <f t="shared" si="0"/>
        <v>6</v>
      </c>
      <c r="X13" s="77">
        <f t="shared" si="0"/>
        <v>7</v>
      </c>
      <c r="Y13" s="77">
        <f t="shared" si="0"/>
        <v>8</v>
      </c>
      <c r="Z13" s="77">
        <f t="shared" si="0"/>
        <v>9</v>
      </c>
      <c r="AA13" s="77">
        <f t="shared" si="0"/>
        <v>10</v>
      </c>
      <c r="AB13" s="25"/>
      <c r="AC13" s="24"/>
      <c r="AD13" s="184"/>
      <c r="AE13" s="18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36"/>
      <c r="D14" s="21"/>
      <c r="E14" s="21"/>
      <c r="F14" s="24"/>
      <c r="G14" s="77">
        <v>1</v>
      </c>
      <c r="H14" s="77">
        <v>2</v>
      </c>
      <c r="I14" s="77">
        <v>3</v>
      </c>
      <c r="J14" s="77">
        <v>4</v>
      </c>
      <c r="K14" s="77">
        <v>5</v>
      </c>
      <c r="L14" s="77">
        <v>6</v>
      </c>
      <c r="M14" s="77">
        <v>7</v>
      </c>
      <c r="N14" s="77">
        <v>8</v>
      </c>
      <c r="O14" s="77">
        <v>9</v>
      </c>
      <c r="P14" s="77">
        <v>10</v>
      </c>
      <c r="Q14" s="80" t="s">
        <v>100</v>
      </c>
      <c r="R14" s="77">
        <f t="shared" si="1"/>
        <v>1</v>
      </c>
      <c r="S14" s="77">
        <f t="shared" si="0"/>
        <v>2</v>
      </c>
      <c r="T14" s="77">
        <f t="shared" si="0"/>
        <v>3</v>
      </c>
      <c r="U14" s="77">
        <f t="shared" si="0"/>
        <v>4</v>
      </c>
      <c r="V14" s="77">
        <f t="shared" si="0"/>
        <v>5</v>
      </c>
      <c r="W14" s="77">
        <f t="shared" si="0"/>
        <v>6</v>
      </c>
      <c r="X14" s="77">
        <f t="shared" si="0"/>
        <v>7</v>
      </c>
      <c r="Y14" s="77">
        <f t="shared" si="0"/>
        <v>8</v>
      </c>
      <c r="Z14" s="77">
        <f t="shared" si="0"/>
        <v>9</v>
      </c>
      <c r="AA14" s="77">
        <f t="shared" si="0"/>
        <v>10</v>
      </c>
      <c r="AB14" s="25"/>
      <c r="AC14" s="24"/>
      <c r="AD14" s="184"/>
      <c r="AE14" s="18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22" t="s">
        <v>21</v>
      </c>
      <c r="D15" s="122"/>
      <c r="E15" s="122"/>
      <c r="F15" s="24"/>
      <c r="G15" s="77">
        <v>1</v>
      </c>
      <c r="H15" s="77">
        <v>2</v>
      </c>
      <c r="I15" s="77">
        <v>3</v>
      </c>
      <c r="J15" s="77">
        <v>4</v>
      </c>
      <c r="K15" s="77">
        <v>5</v>
      </c>
      <c r="L15" s="77">
        <v>6</v>
      </c>
      <c r="M15" s="77">
        <v>7</v>
      </c>
      <c r="N15" s="77">
        <v>8</v>
      </c>
      <c r="O15" s="77">
        <v>9</v>
      </c>
      <c r="P15" s="77">
        <v>10</v>
      </c>
      <c r="Q15" s="80" t="s">
        <v>101</v>
      </c>
      <c r="R15" s="77">
        <f t="shared" si="1"/>
        <v>1</v>
      </c>
      <c r="S15" s="77">
        <f t="shared" si="0"/>
        <v>2</v>
      </c>
      <c r="T15" s="77">
        <f t="shared" si="0"/>
        <v>3</v>
      </c>
      <c r="U15" s="77">
        <f t="shared" si="0"/>
        <v>4</v>
      </c>
      <c r="V15" s="77">
        <f t="shared" si="0"/>
        <v>5</v>
      </c>
      <c r="W15" s="77">
        <f t="shared" si="0"/>
        <v>6</v>
      </c>
      <c r="X15" s="77">
        <f t="shared" si="0"/>
        <v>7</v>
      </c>
      <c r="Y15" s="77">
        <f t="shared" si="0"/>
        <v>8</v>
      </c>
      <c r="Z15" s="77">
        <f t="shared" si="0"/>
        <v>9</v>
      </c>
      <c r="AA15" s="77">
        <f t="shared" si="0"/>
        <v>10</v>
      </c>
      <c r="AB15" s="25"/>
      <c r="AC15" s="24"/>
      <c r="AD15" s="184"/>
      <c r="AE15" s="18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44"/>
      <c r="D16" s="44"/>
      <c r="E16" s="44"/>
      <c r="F16" s="24"/>
      <c r="G16" s="77">
        <v>10</v>
      </c>
      <c r="H16" s="77">
        <v>3</v>
      </c>
      <c r="I16" s="77">
        <v>5</v>
      </c>
      <c r="J16" s="77">
        <v>7</v>
      </c>
      <c r="K16" s="77">
        <v>4</v>
      </c>
      <c r="L16" s="77">
        <v>8</v>
      </c>
      <c r="M16" s="77">
        <v>9</v>
      </c>
      <c r="N16" s="77">
        <v>6</v>
      </c>
      <c r="O16" s="77">
        <v>2</v>
      </c>
      <c r="P16" s="77">
        <v>1</v>
      </c>
      <c r="Q16" s="80" t="s">
        <v>102</v>
      </c>
      <c r="R16" s="77">
        <f t="shared" si="1"/>
        <v>10</v>
      </c>
      <c r="S16" s="77">
        <f t="shared" si="0"/>
        <v>9</v>
      </c>
      <c r="T16" s="77">
        <f t="shared" si="0"/>
        <v>2</v>
      </c>
      <c r="U16" s="77">
        <f t="shared" si="0"/>
        <v>5</v>
      </c>
      <c r="V16" s="77">
        <f t="shared" si="0"/>
        <v>3</v>
      </c>
      <c r="W16" s="77">
        <f t="shared" si="0"/>
        <v>8</v>
      </c>
      <c r="X16" s="77">
        <f t="shared" si="0"/>
        <v>4</v>
      </c>
      <c r="Y16" s="77">
        <f t="shared" si="0"/>
        <v>6</v>
      </c>
      <c r="Z16" s="77">
        <f t="shared" si="0"/>
        <v>7</v>
      </c>
      <c r="AA16" s="77">
        <f t="shared" si="0"/>
        <v>1</v>
      </c>
      <c r="AB16" s="25"/>
      <c r="AC16" s="24"/>
      <c r="AD16" s="184"/>
      <c r="AE16" s="18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44"/>
      <c r="D17" s="44"/>
      <c r="E17" s="44"/>
      <c r="F17" s="24"/>
      <c r="G17" s="77">
        <v>7</v>
      </c>
      <c r="H17" s="77">
        <v>5</v>
      </c>
      <c r="I17" s="77">
        <v>8</v>
      </c>
      <c r="J17" s="77">
        <v>4</v>
      </c>
      <c r="K17" s="77">
        <v>9</v>
      </c>
      <c r="L17" s="77">
        <v>6</v>
      </c>
      <c r="M17" s="77">
        <v>3</v>
      </c>
      <c r="N17" s="77">
        <v>2</v>
      </c>
      <c r="O17" s="77">
        <v>1</v>
      </c>
      <c r="P17" s="77">
        <v>10</v>
      </c>
      <c r="Q17" s="80" t="s">
        <v>103</v>
      </c>
      <c r="R17" s="77">
        <f t="shared" si="1"/>
        <v>9</v>
      </c>
      <c r="S17" s="77">
        <f t="shared" si="0"/>
        <v>8</v>
      </c>
      <c r="T17" s="77">
        <f t="shared" si="0"/>
        <v>7</v>
      </c>
      <c r="U17" s="77">
        <f t="shared" si="0"/>
        <v>4</v>
      </c>
      <c r="V17" s="77">
        <f t="shared" si="0"/>
        <v>2</v>
      </c>
      <c r="W17" s="77">
        <f t="shared" si="0"/>
        <v>6</v>
      </c>
      <c r="X17" s="77">
        <f t="shared" si="0"/>
        <v>1</v>
      </c>
      <c r="Y17" s="77">
        <f t="shared" si="0"/>
        <v>3</v>
      </c>
      <c r="Z17" s="77">
        <f t="shared" si="0"/>
        <v>5</v>
      </c>
      <c r="AA17" s="77">
        <f t="shared" si="0"/>
        <v>10</v>
      </c>
      <c r="AB17" s="25"/>
      <c r="AC17" s="24"/>
      <c r="AD17" s="184"/>
      <c r="AE17" s="18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19.75">
      <c r="A18" s="21"/>
      <c r="B18" s="21"/>
      <c r="C18" s="122" t="s">
        <v>23</v>
      </c>
      <c r="D18" s="122"/>
      <c r="E18" s="122"/>
      <c r="F18" s="24"/>
      <c r="G18" s="77">
        <v>10</v>
      </c>
      <c r="H18" s="77">
        <v>5</v>
      </c>
      <c r="I18" s="77">
        <v>4</v>
      </c>
      <c r="J18" s="77">
        <v>2</v>
      </c>
      <c r="K18" s="77">
        <v>3</v>
      </c>
      <c r="L18" s="77">
        <v>6</v>
      </c>
      <c r="M18" s="77">
        <v>9</v>
      </c>
      <c r="N18" s="77">
        <v>8</v>
      </c>
      <c r="O18" s="77">
        <v>7</v>
      </c>
      <c r="P18" s="77">
        <v>1</v>
      </c>
      <c r="Q18" s="80" t="s">
        <v>104</v>
      </c>
      <c r="R18" s="77">
        <f t="shared" si="1"/>
        <v>10</v>
      </c>
      <c r="S18" s="77">
        <f t="shared" si="0"/>
        <v>4</v>
      </c>
      <c r="T18" s="77">
        <f t="shared" si="0"/>
        <v>5</v>
      </c>
      <c r="U18" s="77">
        <f t="shared" si="0"/>
        <v>3</v>
      </c>
      <c r="V18" s="77">
        <f t="shared" si="0"/>
        <v>2</v>
      </c>
      <c r="W18" s="77">
        <f t="shared" si="0"/>
        <v>6</v>
      </c>
      <c r="X18" s="77">
        <f t="shared" si="0"/>
        <v>9</v>
      </c>
      <c r="Y18" s="77">
        <f t="shared" si="0"/>
        <v>8</v>
      </c>
      <c r="Z18" s="77">
        <f t="shared" si="0"/>
        <v>7</v>
      </c>
      <c r="AA18" s="77">
        <f t="shared" si="0"/>
        <v>1</v>
      </c>
      <c r="AB18" s="25"/>
      <c r="AC18" s="24"/>
      <c r="AD18" s="184"/>
      <c r="AE18" s="18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19.75">
      <c r="A19" s="21"/>
      <c r="B19" s="21"/>
      <c r="C19" s="44"/>
      <c r="D19" s="44"/>
      <c r="E19" s="44"/>
      <c r="F19" s="24"/>
      <c r="G19" s="77">
        <v>9</v>
      </c>
      <c r="H19" s="77">
        <v>1</v>
      </c>
      <c r="I19" s="77">
        <v>8</v>
      </c>
      <c r="J19" s="77">
        <v>7</v>
      </c>
      <c r="K19" s="77">
        <v>4</v>
      </c>
      <c r="L19" s="77">
        <v>5</v>
      </c>
      <c r="M19" s="77">
        <v>6</v>
      </c>
      <c r="N19" s="77">
        <v>3</v>
      </c>
      <c r="O19" s="77">
        <v>10</v>
      </c>
      <c r="P19" s="77">
        <v>2</v>
      </c>
      <c r="Q19" s="80" t="s">
        <v>105</v>
      </c>
      <c r="R19" s="77">
        <f t="shared" si="1"/>
        <v>2</v>
      </c>
      <c r="S19" s="77">
        <f t="shared" si="0"/>
        <v>10</v>
      </c>
      <c r="T19" s="77">
        <f t="shared" si="0"/>
        <v>8</v>
      </c>
      <c r="U19" s="77">
        <f t="shared" si="0"/>
        <v>5</v>
      </c>
      <c r="V19" s="77">
        <f t="shared" si="0"/>
        <v>6</v>
      </c>
      <c r="W19" s="77">
        <f t="shared" si="0"/>
        <v>7</v>
      </c>
      <c r="X19" s="77">
        <f t="shared" si="0"/>
        <v>4</v>
      </c>
      <c r="Y19" s="77">
        <f t="shared" si="0"/>
        <v>3</v>
      </c>
      <c r="Z19" s="77">
        <f t="shared" si="0"/>
        <v>1</v>
      </c>
      <c r="AA19" s="77">
        <f t="shared" si="0"/>
        <v>9</v>
      </c>
      <c r="AB19" s="25"/>
      <c r="AC19" s="24"/>
      <c r="AD19" s="184"/>
      <c r="AE19" s="18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20.25" customHeight="1">
      <c r="A20" s="21"/>
      <c r="B20" s="21"/>
      <c r="C20" s="44"/>
      <c r="D20" s="44"/>
      <c r="E20" s="44"/>
      <c r="F20" s="24"/>
      <c r="G20" s="77">
        <v>2</v>
      </c>
      <c r="H20" s="77">
        <v>3</v>
      </c>
      <c r="I20" s="77">
        <v>1</v>
      </c>
      <c r="J20" s="77">
        <v>4</v>
      </c>
      <c r="K20" s="77">
        <v>5</v>
      </c>
      <c r="L20" s="77">
        <v>6</v>
      </c>
      <c r="M20" s="77">
        <v>9</v>
      </c>
      <c r="N20" s="77">
        <v>8</v>
      </c>
      <c r="O20" s="77">
        <v>7</v>
      </c>
      <c r="P20" s="77">
        <v>10</v>
      </c>
      <c r="Q20" s="80" t="s">
        <v>106</v>
      </c>
      <c r="R20" s="77">
        <f t="shared" si="1"/>
        <v>3</v>
      </c>
      <c r="S20" s="77">
        <f t="shared" si="0"/>
        <v>1</v>
      </c>
      <c r="T20" s="77">
        <f t="shared" si="0"/>
        <v>2</v>
      </c>
      <c r="U20" s="77">
        <f t="shared" si="0"/>
        <v>4</v>
      </c>
      <c r="V20" s="77">
        <f t="shared" si="0"/>
        <v>5</v>
      </c>
      <c r="W20" s="77">
        <f t="shared" si="0"/>
        <v>6</v>
      </c>
      <c r="X20" s="77">
        <f t="shared" si="0"/>
        <v>9</v>
      </c>
      <c r="Y20" s="77">
        <f t="shared" si="0"/>
        <v>8</v>
      </c>
      <c r="Z20" s="77">
        <f t="shared" si="0"/>
        <v>7</v>
      </c>
      <c r="AA20" s="77">
        <f t="shared" si="0"/>
        <v>10</v>
      </c>
      <c r="AB20" s="25"/>
      <c r="AC20" s="24"/>
      <c r="AD20" s="184"/>
      <c r="AE20" s="18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20.25" customHeight="1">
      <c r="A21" s="21"/>
      <c r="B21" s="21"/>
      <c r="C21" s="122" t="s">
        <v>24</v>
      </c>
      <c r="D21" s="122"/>
      <c r="E21" s="122"/>
      <c r="F21" s="24"/>
      <c r="G21" s="77">
        <v>4</v>
      </c>
      <c r="H21" s="77">
        <v>7</v>
      </c>
      <c r="I21" s="77">
        <v>8</v>
      </c>
      <c r="J21" s="77">
        <v>9</v>
      </c>
      <c r="K21" s="77">
        <v>6</v>
      </c>
      <c r="L21" s="77">
        <v>5</v>
      </c>
      <c r="M21" s="77">
        <v>2</v>
      </c>
      <c r="N21" s="77">
        <v>3</v>
      </c>
      <c r="O21" s="77">
        <v>1</v>
      </c>
      <c r="P21" s="77">
        <v>10</v>
      </c>
      <c r="Q21" s="80" t="s">
        <v>107</v>
      </c>
      <c r="R21" s="77">
        <f t="shared" si="1"/>
        <v>9</v>
      </c>
      <c r="S21" s="77">
        <f t="shared" si="0"/>
        <v>7</v>
      </c>
      <c r="T21" s="77">
        <f t="shared" si="0"/>
        <v>8</v>
      </c>
      <c r="U21" s="77">
        <f t="shared" si="0"/>
        <v>1</v>
      </c>
      <c r="V21" s="77">
        <f t="shared" si="0"/>
        <v>6</v>
      </c>
      <c r="W21" s="77">
        <f t="shared" si="0"/>
        <v>5</v>
      </c>
      <c r="X21" s="77">
        <f t="shared" si="0"/>
        <v>2</v>
      </c>
      <c r="Y21" s="77">
        <f t="shared" si="0"/>
        <v>3</v>
      </c>
      <c r="Z21" s="77">
        <f t="shared" si="0"/>
        <v>4</v>
      </c>
      <c r="AA21" s="77">
        <f t="shared" si="0"/>
        <v>10</v>
      </c>
      <c r="AB21" s="25"/>
      <c r="AC21" s="24"/>
      <c r="AD21" s="184"/>
      <c r="AE21" s="18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44"/>
      <c r="D22" s="44"/>
      <c r="E22" s="44"/>
      <c r="F22" s="24"/>
      <c r="G22" s="77">
        <v>5</v>
      </c>
      <c r="H22" s="77">
        <v>6</v>
      </c>
      <c r="I22" s="77">
        <v>9</v>
      </c>
      <c r="J22" s="77">
        <v>8</v>
      </c>
      <c r="K22" s="77">
        <v>7</v>
      </c>
      <c r="L22" s="77">
        <v>10</v>
      </c>
      <c r="M22" s="77">
        <v>4</v>
      </c>
      <c r="N22" s="77">
        <v>2</v>
      </c>
      <c r="O22" s="77">
        <v>3</v>
      </c>
      <c r="P22" s="77">
        <v>1</v>
      </c>
      <c r="Q22" s="80" t="s">
        <v>108</v>
      </c>
      <c r="R22" s="77">
        <f t="shared" si="1"/>
        <v>10</v>
      </c>
      <c r="S22" s="77">
        <f t="shared" si="0"/>
        <v>8</v>
      </c>
      <c r="T22" s="77">
        <f t="shared" si="0"/>
        <v>9</v>
      </c>
      <c r="U22" s="77">
        <f t="shared" si="0"/>
        <v>7</v>
      </c>
      <c r="V22" s="77">
        <f t="shared" si="0"/>
        <v>1</v>
      </c>
      <c r="W22" s="77">
        <f t="shared" si="0"/>
        <v>2</v>
      </c>
      <c r="X22" s="77">
        <f t="shared" si="0"/>
        <v>5</v>
      </c>
      <c r="Y22" s="77">
        <f t="shared" si="0"/>
        <v>4</v>
      </c>
      <c r="Z22" s="77">
        <f t="shared" si="0"/>
        <v>3</v>
      </c>
      <c r="AA22" s="77">
        <f t="shared" si="0"/>
        <v>6</v>
      </c>
      <c r="AB22" s="25"/>
      <c r="AC22" s="24"/>
      <c r="AD22" s="184"/>
      <c r="AE22" s="18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19.75">
      <c r="A23" s="21"/>
      <c r="B23" s="21"/>
      <c r="C23" s="44"/>
      <c r="D23" s="44"/>
      <c r="E23" s="44"/>
      <c r="F23" s="24"/>
      <c r="G23" s="77">
        <v>6</v>
      </c>
      <c r="H23" s="77">
        <v>9</v>
      </c>
      <c r="I23" s="77">
        <v>8</v>
      </c>
      <c r="J23" s="77">
        <v>5</v>
      </c>
      <c r="K23" s="77">
        <v>3</v>
      </c>
      <c r="L23" s="77">
        <v>2</v>
      </c>
      <c r="M23" s="77">
        <v>1</v>
      </c>
      <c r="N23" s="77">
        <v>10</v>
      </c>
      <c r="O23" s="77">
        <v>4</v>
      </c>
      <c r="P23" s="77">
        <v>7</v>
      </c>
      <c r="Q23" s="80" t="s">
        <v>109</v>
      </c>
      <c r="R23" s="77">
        <f t="shared" si="1"/>
        <v>7</v>
      </c>
      <c r="S23" s="77">
        <f t="shared" si="0"/>
        <v>6</v>
      </c>
      <c r="T23" s="77">
        <f t="shared" si="0"/>
        <v>5</v>
      </c>
      <c r="U23" s="77">
        <f t="shared" si="0"/>
        <v>9</v>
      </c>
      <c r="V23" s="77">
        <f t="shared" si="0"/>
        <v>4</v>
      </c>
      <c r="W23" s="77">
        <f t="shared" si="0"/>
        <v>1</v>
      </c>
      <c r="X23" s="77">
        <f t="shared" si="0"/>
        <v>10</v>
      </c>
      <c r="Y23" s="77">
        <f t="shared" si="0"/>
        <v>3</v>
      </c>
      <c r="Z23" s="77">
        <f t="shared" si="0"/>
        <v>2</v>
      </c>
      <c r="AA23" s="77">
        <f t="shared" si="0"/>
        <v>8</v>
      </c>
      <c r="AB23" s="25"/>
      <c r="AC23" s="24"/>
      <c r="AD23" s="184"/>
      <c r="AE23" s="18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19.75">
      <c r="A24" s="21"/>
      <c r="B24" s="21"/>
      <c r="C24" s="122" t="s">
        <v>25</v>
      </c>
      <c r="D24" s="122"/>
      <c r="E24" s="122"/>
      <c r="F24" s="24"/>
      <c r="G24" s="77">
        <v>8</v>
      </c>
      <c r="H24" s="77">
        <v>4</v>
      </c>
      <c r="I24" s="77">
        <v>10</v>
      </c>
      <c r="J24" s="77">
        <v>1</v>
      </c>
      <c r="K24" s="77">
        <v>3</v>
      </c>
      <c r="L24" s="77">
        <v>2</v>
      </c>
      <c r="M24" s="77">
        <v>9</v>
      </c>
      <c r="N24" s="77">
        <v>6</v>
      </c>
      <c r="O24" s="77">
        <v>5</v>
      </c>
      <c r="P24" s="77">
        <v>7</v>
      </c>
      <c r="Q24" s="80" t="s">
        <v>110</v>
      </c>
      <c r="R24" s="77">
        <f t="shared" si="1"/>
        <v>4</v>
      </c>
      <c r="S24" s="77">
        <f t="shared" si="0"/>
        <v>6</v>
      </c>
      <c r="T24" s="77">
        <f t="shared" si="0"/>
        <v>5</v>
      </c>
      <c r="U24" s="77">
        <f t="shared" si="0"/>
        <v>2</v>
      </c>
      <c r="V24" s="77">
        <f t="shared" si="0"/>
        <v>9</v>
      </c>
      <c r="W24" s="77">
        <f t="shared" si="0"/>
        <v>8</v>
      </c>
      <c r="X24" s="77">
        <f t="shared" si="0"/>
        <v>10</v>
      </c>
      <c r="Y24" s="77">
        <f t="shared" si="0"/>
        <v>1</v>
      </c>
      <c r="Z24" s="77">
        <f t="shared" si="0"/>
        <v>7</v>
      </c>
      <c r="AA24" s="77">
        <f t="shared" si="0"/>
        <v>3</v>
      </c>
      <c r="AB24" s="25"/>
      <c r="AC24" s="24"/>
      <c r="AD24" s="184"/>
      <c r="AE24" s="18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19.75">
      <c r="A25" s="21"/>
      <c r="B25" s="21"/>
      <c r="C25" s="44"/>
      <c r="D25" s="44"/>
      <c r="E25" s="44"/>
      <c r="F25" s="24"/>
      <c r="G25" s="77">
        <v>5</v>
      </c>
      <c r="H25" s="77">
        <v>7</v>
      </c>
      <c r="I25" s="77">
        <v>6</v>
      </c>
      <c r="J25" s="77">
        <v>3</v>
      </c>
      <c r="K25" s="77">
        <v>1</v>
      </c>
      <c r="L25" s="77">
        <v>9</v>
      </c>
      <c r="M25" s="77">
        <v>10</v>
      </c>
      <c r="N25" s="77">
        <v>4</v>
      </c>
      <c r="O25" s="77">
        <v>8</v>
      </c>
      <c r="P25" s="77">
        <v>2</v>
      </c>
      <c r="Q25" s="80" t="s">
        <v>111</v>
      </c>
      <c r="R25" s="77">
        <f t="shared" si="1"/>
        <v>5</v>
      </c>
      <c r="S25" s="77">
        <f t="shared" si="1"/>
        <v>10</v>
      </c>
      <c r="T25" s="77">
        <f t="shared" si="1"/>
        <v>4</v>
      </c>
      <c r="U25" s="77">
        <f t="shared" si="1"/>
        <v>8</v>
      </c>
      <c r="V25" s="77">
        <f t="shared" si="1"/>
        <v>1</v>
      </c>
      <c r="W25" s="77">
        <f t="shared" si="1"/>
        <v>3</v>
      </c>
      <c r="X25" s="77">
        <f t="shared" si="1"/>
        <v>2</v>
      </c>
      <c r="Y25" s="77">
        <f t="shared" si="1"/>
        <v>9</v>
      </c>
      <c r="Z25" s="77">
        <f t="shared" si="1"/>
        <v>6</v>
      </c>
      <c r="AA25" s="77">
        <f t="shared" si="1"/>
        <v>7</v>
      </c>
      <c r="AB25" s="25"/>
      <c r="AC25" s="24"/>
      <c r="AD25" s="184"/>
      <c r="AE25" s="18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19.75">
      <c r="A26" s="21"/>
      <c r="B26" s="21"/>
      <c r="C26" s="44"/>
      <c r="D26" s="44"/>
      <c r="E26" s="44"/>
      <c r="F26" s="24"/>
      <c r="G26" s="77">
        <v>5</v>
      </c>
      <c r="H26" s="77">
        <v>7</v>
      </c>
      <c r="I26" s="77">
        <v>8</v>
      </c>
      <c r="J26" s="77">
        <v>10</v>
      </c>
      <c r="K26" s="77">
        <v>2</v>
      </c>
      <c r="L26" s="77">
        <v>1</v>
      </c>
      <c r="M26" s="77">
        <v>3</v>
      </c>
      <c r="N26" s="77">
        <v>4</v>
      </c>
      <c r="O26" s="77">
        <v>6</v>
      </c>
      <c r="P26" s="77">
        <v>9</v>
      </c>
      <c r="Q26" s="80" t="s">
        <v>112</v>
      </c>
      <c r="R26" s="77">
        <f t="shared" si="1"/>
        <v>6</v>
      </c>
      <c r="S26" s="77">
        <f t="shared" si="1"/>
        <v>5</v>
      </c>
      <c r="T26" s="77">
        <f t="shared" si="1"/>
        <v>7</v>
      </c>
      <c r="U26" s="77">
        <f t="shared" si="1"/>
        <v>8</v>
      </c>
      <c r="V26" s="77">
        <f t="shared" si="1"/>
        <v>1</v>
      </c>
      <c r="W26" s="77">
        <f t="shared" si="1"/>
        <v>9</v>
      </c>
      <c r="X26" s="77">
        <f t="shared" si="1"/>
        <v>2</v>
      </c>
      <c r="Y26" s="77">
        <f t="shared" si="1"/>
        <v>3</v>
      </c>
      <c r="Z26" s="77">
        <f t="shared" si="1"/>
        <v>10</v>
      </c>
      <c r="AA26" s="77">
        <f t="shared" si="1"/>
        <v>4</v>
      </c>
      <c r="AB26" s="25"/>
      <c r="AC26" s="24"/>
      <c r="AD26" s="184"/>
      <c r="AE26" s="18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19.75">
      <c r="A27" s="21"/>
      <c r="B27" s="21"/>
      <c r="C27" s="122" t="s">
        <v>26</v>
      </c>
      <c r="D27" s="122"/>
      <c r="E27" s="122"/>
      <c r="F27" s="24"/>
      <c r="G27" s="77">
        <v>1</v>
      </c>
      <c r="H27" s="77">
        <v>10</v>
      </c>
      <c r="I27" s="77">
        <v>2</v>
      </c>
      <c r="J27" s="77">
        <v>4</v>
      </c>
      <c r="K27" s="77">
        <v>6</v>
      </c>
      <c r="L27" s="77">
        <v>3</v>
      </c>
      <c r="M27" s="77">
        <v>5</v>
      </c>
      <c r="N27" s="77">
        <v>7</v>
      </c>
      <c r="O27" s="77">
        <v>8</v>
      </c>
      <c r="P27" s="77">
        <v>9</v>
      </c>
      <c r="Q27" s="80" t="s">
        <v>113</v>
      </c>
      <c r="R27" s="77">
        <f t="shared" si="1"/>
        <v>1</v>
      </c>
      <c r="S27" s="77">
        <f t="shared" si="1"/>
        <v>3</v>
      </c>
      <c r="T27" s="77">
        <f t="shared" si="1"/>
        <v>6</v>
      </c>
      <c r="U27" s="77">
        <f t="shared" si="1"/>
        <v>4</v>
      </c>
      <c r="V27" s="77">
        <f t="shared" si="1"/>
        <v>7</v>
      </c>
      <c r="W27" s="77">
        <f t="shared" si="1"/>
        <v>5</v>
      </c>
      <c r="X27" s="77">
        <f t="shared" si="1"/>
        <v>8</v>
      </c>
      <c r="Y27" s="77">
        <f t="shared" si="1"/>
        <v>9</v>
      </c>
      <c r="Z27" s="77">
        <f t="shared" si="1"/>
        <v>10</v>
      </c>
      <c r="AA27" s="77">
        <f t="shared" si="1"/>
        <v>2</v>
      </c>
      <c r="AB27" s="25"/>
      <c r="AC27" s="24"/>
      <c r="AD27" s="184"/>
      <c r="AE27" s="18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77">
        <v>1</v>
      </c>
      <c r="H28" s="77">
        <v>2</v>
      </c>
      <c r="I28" s="77">
        <v>3</v>
      </c>
      <c r="J28" s="77">
        <v>5</v>
      </c>
      <c r="K28" s="77">
        <v>6</v>
      </c>
      <c r="L28" s="77">
        <v>7</v>
      </c>
      <c r="M28" s="77">
        <v>8</v>
      </c>
      <c r="N28" s="77">
        <v>9</v>
      </c>
      <c r="O28" s="77">
        <v>10</v>
      </c>
      <c r="P28" s="77">
        <v>4</v>
      </c>
      <c r="Q28" s="80" t="s">
        <v>114</v>
      </c>
      <c r="R28" s="77">
        <f t="shared" si="1"/>
        <v>1</v>
      </c>
      <c r="S28" s="77">
        <f t="shared" si="1"/>
        <v>2</v>
      </c>
      <c r="T28" s="77">
        <f t="shared" si="1"/>
        <v>3</v>
      </c>
      <c r="U28" s="77">
        <f t="shared" si="1"/>
        <v>10</v>
      </c>
      <c r="V28" s="77">
        <f t="shared" si="1"/>
        <v>4</v>
      </c>
      <c r="W28" s="77">
        <f t="shared" si="1"/>
        <v>5</v>
      </c>
      <c r="X28" s="77">
        <f t="shared" si="1"/>
        <v>6</v>
      </c>
      <c r="Y28" s="77">
        <f t="shared" si="1"/>
        <v>7</v>
      </c>
      <c r="Z28" s="77">
        <f t="shared" si="1"/>
        <v>8</v>
      </c>
      <c r="AA28" s="77">
        <f t="shared" si="1"/>
        <v>9</v>
      </c>
      <c r="AB28" s="25"/>
      <c r="AC28" s="24"/>
      <c r="AD28" s="184"/>
      <c r="AE28" s="18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77">
        <v>10</v>
      </c>
      <c r="H29" s="77">
        <v>9</v>
      </c>
      <c r="I29" s="77">
        <v>8</v>
      </c>
      <c r="J29" s="77">
        <v>7</v>
      </c>
      <c r="K29" s="77">
        <v>6</v>
      </c>
      <c r="L29" s="77">
        <v>4</v>
      </c>
      <c r="M29" s="77">
        <v>3</v>
      </c>
      <c r="N29" s="77">
        <v>2</v>
      </c>
      <c r="O29" s="77">
        <v>1</v>
      </c>
      <c r="P29" s="77">
        <v>5</v>
      </c>
      <c r="Q29" s="80" t="s">
        <v>115</v>
      </c>
      <c r="R29" s="77">
        <f t="shared" si="1"/>
        <v>9</v>
      </c>
      <c r="S29" s="77">
        <f t="shared" si="1"/>
        <v>8</v>
      </c>
      <c r="T29" s="77">
        <f t="shared" si="1"/>
        <v>7</v>
      </c>
      <c r="U29" s="77">
        <f t="shared" si="1"/>
        <v>6</v>
      </c>
      <c r="V29" s="77">
        <f t="shared" si="1"/>
        <v>10</v>
      </c>
      <c r="W29" s="77">
        <f t="shared" si="1"/>
        <v>5</v>
      </c>
      <c r="X29" s="77">
        <f t="shared" si="1"/>
        <v>4</v>
      </c>
      <c r="Y29" s="77">
        <f t="shared" si="1"/>
        <v>3</v>
      </c>
      <c r="Z29" s="77">
        <f t="shared" si="1"/>
        <v>2</v>
      </c>
      <c r="AA29" s="77">
        <f t="shared" si="1"/>
        <v>1</v>
      </c>
      <c r="AB29" s="25"/>
      <c r="AC29" s="24"/>
      <c r="AD29" s="184"/>
      <c r="AE29" s="18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77">
        <v>10</v>
      </c>
      <c r="H30" s="77">
        <v>1</v>
      </c>
      <c r="I30" s="77">
        <v>2</v>
      </c>
      <c r="J30" s="77">
        <v>3</v>
      </c>
      <c r="K30" s="77">
        <v>4</v>
      </c>
      <c r="L30" s="77">
        <v>5</v>
      </c>
      <c r="M30" s="77">
        <v>9</v>
      </c>
      <c r="N30" s="77">
        <v>7</v>
      </c>
      <c r="O30" s="77">
        <v>8</v>
      </c>
      <c r="P30" s="77">
        <v>6</v>
      </c>
      <c r="Q30" s="80" t="s">
        <v>116</v>
      </c>
      <c r="R30" s="77">
        <f t="shared" si="1"/>
        <v>2</v>
      </c>
      <c r="S30" s="77">
        <f t="shared" si="1"/>
        <v>3</v>
      </c>
      <c r="T30" s="77">
        <f t="shared" si="1"/>
        <v>4</v>
      </c>
      <c r="U30" s="77">
        <f t="shared" si="1"/>
        <v>5</v>
      </c>
      <c r="V30" s="77">
        <f t="shared" si="1"/>
        <v>6</v>
      </c>
      <c r="W30" s="77">
        <f t="shared" si="1"/>
        <v>10</v>
      </c>
      <c r="X30" s="77">
        <f t="shared" si="1"/>
        <v>8</v>
      </c>
      <c r="Y30" s="77">
        <f t="shared" si="1"/>
        <v>9</v>
      </c>
      <c r="Z30" s="77">
        <f t="shared" si="1"/>
        <v>7</v>
      </c>
      <c r="AA30" s="77">
        <f t="shared" si="1"/>
        <v>1</v>
      </c>
      <c r="AB30" s="25"/>
      <c r="AC30" s="24"/>
      <c r="AD30" s="184"/>
      <c r="AE30" s="18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77">
        <v>1</v>
      </c>
      <c r="H31" s="77">
        <v>2</v>
      </c>
      <c r="I31" s="77">
        <v>3</v>
      </c>
      <c r="J31" s="77">
        <v>4</v>
      </c>
      <c r="K31" s="77">
        <v>10</v>
      </c>
      <c r="L31" s="77">
        <v>5</v>
      </c>
      <c r="M31" s="77">
        <v>6</v>
      </c>
      <c r="N31" s="77">
        <v>7</v>
      </c>
      <c r="O31" s="77">
        <v>8</v>
      </c>
      <c r="P31" s="77">
        <v>9</v>
      </c>
      <c r="Q31" s="80" t="s">
        <v>117</v>
      </c>
      <c r="R31" s="77">
        <f t="shared" si="1"/>
        <v>1</v>
      </c>
      <c r="S31" s="77">
        <f t="shared" si="1"/>
        <v>2</v>
      </c>
      <c r="T31" s="77">
        <f t="shared" si="1"/>
        <v>3</v>
      </c>
      <c r="U31" s="77">
        <f t="shared" si="1"/>
        <v>4</v>
      </c>
      <c r="V31" s="77">
        <f t="shared" si="1"/>
        <v>6</v>
      </c>
      <c r="W31" s="77">
        <f t="shared" si="1"/>
        <v>7</v>
      </c>
      <c r="X31" s="77">
        <f t="shared" si="1"/>
        <v>8</v>
      </c>
      <c r="Y31" s="77">
        <f t="shared" si="1"/>
        <v>9</v>
      </c>
      <c r="Z31" s="77">
        <f t="shared" si="1"/>
        <v>10</v>
      </c>
      <c r="AA31" s="77">
        <f t="shared" si="1"/>
        <v>5</v>
      </c>
      <c r="AB31" s="25"/>
      <c r="AC31" s="24"/>
      <c r="AD31" s="184"/>
      <c r="AE31" s="18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77">
        <v>1</v>
      </c>
      <c r="H32" s="77">
        <v>2</v>
      </c>
      <c r="I32" s="77">
        <v>3</v>
      </c>
      <c r="J32" s="77">
        <v>4</v>
      </c>
      <c r="K32" s="77">
        <v>6</v>
      </c>
      <c r="L32" s="77">
        <v>7</v>
      </c>
      <c r="M32" s="77">
        <v>9</v>
      </c>
      <c r="N32" s="77">
        <v>5</v>
      </c>
      <c r="O32" s="77">
        <v>10</v>
      </c>
      <c r="P32" s="77">
        <v>8</v>
      </c>
      <c r="Q32" s="80" t="s">
        <v>118</v>
      </c>
      <c r="R32" s="77">
        <f t="shared" si="1"/>
        <v>1</v>
      </c>
      <c r="S32" s="77">
        <f t="shared" si="1"/>
        <v>2</v>
      </c>
      <c r="T32" s="77">
        <f t="shared" si="1"/>
        <v>3</v>
      </c>
      <c r="U32" s="77">
        <f t="shared" si="1"/>
        <v>4</v>
      </c>
      <c r="V32" s="77">
        <f t="shared" si="1"/>
        <v>8</v>
      </c>
      <c r="W32" s="77">
        <f t="shared" si="1"/>
        <v>5</v>
      </c>
      <c r="X32" s="77">
        <f t="shared" si="1"/>
        <v>6</v>
      </c>
      <c r="Y32" s="77">
        <f t="shared" si="1"/>
        <v>10</v>
      </c>
      <c r="Z32" s="77">
        <f t="shared" si="1"/>
        <v>7</v>
      </c>
      <c r="AA32" s="77">
        <f t="shared" si="1"/>
        <v>9</v>
      </c>
      <c r="AB32" s="25"/>
      <c r="AC32" s="24"/>
      <c r="AD32" s="184"/>
      <c r="AE32" s="18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77">
        <v>1</v>
      </c>
      <c r="H33" s="77">
        <v>2</v>
      </c>
      <c r="I33" s="77">
        <v>3</v>
      </c>
      <c r="J33" s="77">
        <v>4</v>
      </c>
      <c r="K33" s="77">
        <v>5</v>
      </c>
      <c r="L33" s="77">
        <v>6</v>
      </c>
      <c r="M33" s="77">
        <v>7</v>
      </c>
      <c r="N33" s="77">
        <v>8</v>
      </c>
      <c r="O33" s="77">
        <v>9</v>
      </c>
      <c r="P33" s="77">
        <v>10</v>
      </c>
      <c r="Q33" s="80" t="s">
        <v>161</v>
      </c>
      <c r="R33" s="77">
        <f t="shared" si="1"/>
        <v>1</v>
      </c>
      <c r="S33" s="77">
        <f t="shared" si="1"/>
        <v>2</v>
      </c>
      <c r="T33" s="77">
        <f t="shared" si="1"/>
        <v>3</v>
      </c>
      <c r="U33" s="77">
        <f t="shared" si="1"/>
        <v>4</v>
      </c>
      <c r="V33" s="77">
        <f t="shared" si="1"/>
        <v>5</v>
      </c>
      <c r="W33" s="77">
        <f t="shared" si="1"/>
        <v>6</v>
      </c>
      <c r="X33" s="77">
        <f t="shared" si="1"/>
        <v>7</v>
      </c>
      <c r="Y33" s="77">
        <f t="shared" si="1"/>
        <v>8</v>
      </c>
      <c r="Z33" s="77">
        <f t="shared" si="1"/>
        <v>9</v>
      </c>
      <c r="AA33" s="77">
        <f t="shared" si="1"/>
        <v>10</v>
      </c>
      <c r="AB33" s="25"/>
      <c r="AC33" s="24"/>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77"/>
      <c r="H34" s="77"/>
      <c r="I34" s="77"/>
      <c r="J34" s="77"/>
      <c r="K34" s="77"/>
      <c r="L34" s="77"/>
      <c r="M34" s="77"/>
      <c r="N34" s="77"/>
      <c r="O34" s="77"/>
      <c r="P34" s="77"/>
      <c r="Q34" s="75"/>
      <c r="R34" s="77" t="str">
        <f t="shared" si="1"/>
        <v/>
      </c>
      <c r="S34" s="77" t="str">
        <f t="shared" si="1"/>
        <v/>
      </c>
      <c r="T34" s="77" t="str">
        <f t="shared" si="1"/>
        <v/>
      </c>
      <c r="U34" s="77" t="str">
        <f t="shared" si="1"/>
        <v/>
      </c>
      <c r="V34" s="77" t="str">
        <f t="shared" si="1"/>
        <v/>
      </c>
      <c r="W34" s="77" t="str">
        <f t="shared" si="1"/>
        <v/>
      </c>
      <c r="X34" s="77" t="str">
        <f t="shared" si="1"/>
        <v/>
      </c>
      <c r="Y34" s="77" t="str">
        <f t="shared" si="1"/>
        <v/>
      </c>
      <c r="Z34" s="77" t="str">
        <f t="shared" si="1"/>
        <v/>
      </c>
      <c r="AA34" s="77" t="str">
        <f t="shared" si="1"/>
        <v/>
      </c>
      <c r="AB34" s="25"/>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77"/>
      <c r="H35" s="77"/>
      <c r="I35" s="77"/>
      <c r="J35" s="77"/>
      <c r="K35" s="77"/>
      <c r="L35" s="77"/>
      <c r="M35" s="77"/>
      <c r="N35" s="77"/>
      <c r="O35" s="77"/>
      <c r="P35" s="77"/>
      <c r="Q35" s="75"/>
      <c r="R35" s="77" t="str">
        <f t="shared" si="1"/>
        <v/>
      </c>
      <c r="S35" s="77" t="str">
        <f t="shared" si="1"/>
        <v/>
      </c>
      <c r="T35" s="77" t="str">
        <f t="shared" si="1"/>
        <v/>
      </c>
      <c r="U35" s="77" t="str">
        <f t="shared" si="1"/>
        <v/>
      </c>
      <c r="V35" s="77" t="str">
        <f t="shared" si="1"/>
        <v/>
      </c>
      <c r="W35" s="77" t="str">
        <f t="shared" si="1"/>
        <v/>
      </c>
      <c r="X35" s="77" t="str">
        <f t="shared" si="1"/>
        <v/>
      </c>
      <c r="Y35" s="77" t="str">
        <f t="shared" si="1"/>
        <v/>
      </c>
      <c r="Z35" s="77" t="str">
        <f t="shared" si="1"/>
        <v/>
      </c>
      <c r="AA35" s="77" t="str">
        <f t="shared" si="1"/>
        <v/>
      </c>
      <c r="AB35" s="25"/>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77"/>
      <c r="H36" s="77"/>
      <c r="I36" s="77"/>
      <c r="J36" s="77"/>
      <c r="K36" s="77"/>
      <c r="L36" s="77"/>
      <c r="M36" s="77"/>
      <c r="N36" s="77"/>
      <c r="O36" s="77"/>
      <c r="P36" s="77"/>
      <c r="Q36" s="75"/>
      <c r="R36" s="77" t="str">
        <f t="shared" si="1"/>
        <v/>
      </c>
      <c r="S36" s="77" t="str">
        <f t="shared" si="1"/>
        <v/>
      </c>
      <c r="T36" s="77" t="str">
        <f t="shared" si="1"/>
        <v/>
      </c>
      <c r="U36" s="77" t="str">
        <f t="shared" si="1"/>
        <v/>
      </c>
      <c r="V36" s="77" t="str">
        <f t="shared" si="1"/>
        <v/>
      </c>
      <c r="W36" s="77" t="str">
        <f t="shared" si="1"/>
        <v/>
      </c>
      <c r="X36" s="77" t="str">
        <f t="shared" si="1"/>
        <v/>
      </c>
      <c r="Y36" s="77" t="str">
        <f t="shared" si="1"/>
        <v/>
      </c>
      <c r="Z36" s="77" t="str">
        <f t="shared" si="1"/>
        <v/>
      </c>
      <c r="AA36" s="77" t="str">
        <f t="shared" si="1"/>
        <v/>
      </c>
      <c r="AB36" s="25"/>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77"/>
      <c r="H37" s="77"/>
      <c r="I37" s="77"/>
      <c r="J37" s="77"/>
      <c r="K37" s="77"/>
      <c r="L37" s="77"/>
      <c r="M37" s="77"/>
      <c r="N37" s="77"/>
      <c r="O37" s="77"/>
      <c r="P37" s="77"/>
      <c r="Q37" s="75"/>
      <c r="R37" s="77" t="str">
        <f t="shared" si="1"/>
        <v/>
      </c>
      <c r="S37" s="77" t="str">
        <f t="shared" si="1"/>
        <v/>
      </c>
      <c r="T37" s="77" t="str">
        <f t="shared" si="1"/>
        <v/>
      </c>
      <c r="U37" s="77" t="str">
        <f t="shared" si="1"/>
        <v/>
      </c>
      <c r="V37" s="77" t="str">
        <f t="shared" si="1"/>
        <v/>
      </c>
      <c r="W37" s="77" t="str">
        <f t="shared" si="1"/>
        <v/>
      </c>
      <c r="X37" s="77" t="str">
        <f t="shared" si="1"/>
        <v/>
      </c>
      <c r="Y37" s="77" t="str">
        <f t="shared" si="1"/>
        <v/>
      </c>
      <c r="Z37" s="77" t="str">
        <f t="shared" si="1"/>
        <v/>
      </c>
      <c r="AA37" s="77" t="str">
        <f t="shared" si="1"/>
        <v/>
      </c>
      <c r="AB37" s="25"/>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77"/>
      <c r="H38" s="77"/>
      <c r="I38" s="77"/>
      <c r="J38" s="77"/>
      <c r="K38" s="77"/>
      <c r="L38" s="77"/>
      <c r="M38" s="77"/>
      <c r="N38" s="77"/>
      <c r="O38" s="77"/>
      <c r="P38" s="77"/>
      <c r="Q38" s="75"/>
      <c r="R38" s="77" t="str">
        <f t="shared" si="1"/>
        <v/>
      </c>
      <c r="S38" s="77" t="str">
        <f t="shared" si="1"/>
        <v/>
      </c>
      <c r="T38" s="77" t="str">
        <f t="shared" si="1"/>
        <v/>
      </c>
      <c r="U38" s="77" t="str">
        <f t="shared" si="1"/>
        <v/>
      </c>
      <c r="V38" s="77" t="str">
        <f t="shared" si="1"/>
        <v/>
      </c>
      <c r="W38" s="77" t="str">
        <f t="shared" si="1"/>
        <v/>
      </c>
      <c r="X38" s="77" t="str">
        <f t="shared" si="1"/>
        <v/>
      </c>
      <c r="Y38" s="77" t="str">
        <f t="shared" si="1"/>
        <v/>
      </c>
      <c r="Z38" s="77" t="str">
        <f t="shared" si="1"/>
        <v/>
      </c>
      <c r="AA38" s="77" t="str">
        <f t="shared" si="1"/>
        <v/>
      </c>
      <c r="AB38" s="25"/>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77"/>
      <c r="H39" s="77"/>
      <c r="I39" s="77"/>
      <c r="J39" s="77"/>
      <c r="K39" s="77"/>
      <c r="L39" s="77"/>
      <c r="M39" s="77"/>
      <c r="N39" s="77"/>
      <c r="O39" s="77"/>
      <c r="P39" s="77"/>
      <c r="Q39" s="75"/>
      <c r="R39" s="77" t="str">
        <f t="shared" si="1"/>
        <v/>
      </c>
      <c r="S39" s="77" t="str">
        <f t="shared" si="1"/>
        <v/>
      </c>
      <c r="T39" s="77" t="str">
        <f t="shared" si="1"/>
        <v/>
      </c>
      <c r="U39" s="77" t="str">
        <f t="shared" si="1"/>
        <v/>
      </c>
      <c r="V39" s="77" t="str">
        <f t="shared" si="1"/>
        <v/>
      </c>
      <c r="W39" s="77" t="str">
        <f t="shared" si="1"/>
        <v/>
      </c>
      <c r="X39" s="77" t="str">
        <f t="shared" si="1"/>
        <v/>
      </c>
      <c r="Y39" s="77" t="str">
        <f t="shared" si="1"/>
        <v/>
      </c>
      <c r="Z39" s="77" t="str">
        <f t="shared" si="1"/>
        <v/>
      </c>
      <c r="AA39" s="77" t="str">
        <f t="shared" si="1"/>
        <v/>
      </c>
      <c r="AB39" s="25"/>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77"/>
      <c r="H40" s="77"/>
      <c r="I40" s="77"/>
      <c r="J40" s="77"/>
      <c r="K40" s="77"/>
      <c r="L40" s="77"/>
      <c r="M40" s="77"/>
      <c r="N40" s="77"/>
      <c r="O40" s="77"/>
      <c r="P40" s="77"/>
      <c r="Q40" s="75"/>
      <c r="R40" s="77" t="str">
        <f t="shared" si="1"/>
        <v/>
      </c>
      <c r="S40" s="77" t="str">
        <f t="shared" si="1"/>
        <v/>
      </c>
      <c r="T40" s="77" t="str">
        <f t="shared" si="1"/>
        <v/>
      </c>
      <c r="U40" s="77" t="str">
        <f t="shared" si="1"/>
        <v/>
      </c>
      <c r="V40" s="77" t="str">
        <f t="shared" si="1"/>
        <v/>
      </c>
      <c r="W40" s="77" t="str">
        <f t="shared" si="1"/>
        <v/>
      </c>
      <c r="X40" s="77" t="str">
        <f t="shared" si="1"/>
        <v/>
      </c>
      <c r="Y40" s="77" t="str">
        <f t="shared" si="1"/>
        <v/>
      </c>
      <c r="Z40" s="77" t="str">
        <f t="shared" si="1"/>
        <v/>
      </c>
      <c r="AA40" s="77" t="str">
        <f t="shared" si="1"/>
        <v/>
      </c>
      <c r="AB40" s="25"/>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77"/>
      <c r="H41" s="77"/>
      <c r="I41" s="77"/>
      <c r="J41" s="77"/>
      <c r="K41" s="77"/>
      <c r="L41" s="77"/>
      <c r="M41" s="77"/>
      <c r="N41" s="77"/>
      <c r="O41" s="77"/>
      <c r="P41" s="77"/>
      <c r="Q41" s="75"/>
      <c r="R41" s="77" t="str">
        <f t="shared" si="1"/>
        <v/>
      </c>
      <c r="S41" s="77" t="str">
        <f t="shared" si="1"/>
        <v/>
      </c>
      <c r="T41" s="77" t="str">
        <f t="shared" si="1"/>
        <v/>
      </c>
      <c r="U41" s="77" t="str">
        <f t="shared" si="1"/>
        <v/>
      </c>
      <c r="V41" s="77" t="str">
        <f t="shared" si="1"/>
        <v/>
      </c>
      <c r="W41" s="77" t="str">
        <f t="shared" si="1"/>
        <v/>
      </c>
      <c r="X41" s="77" t="str">
        <f t="shared" si="1"/>
        <v/>
      </c>
      <c r="Y41" s="77" t="str">
        <f t="shared" si="1"/>
        <v/>
      </c>
      <c r="Z41" s="77" t="str">
        <f t="shared" si="1"/>
        <v/>
      </c>
      <c r="AA41" s="77" t="str">
        <f t="shared" si="1"/>
        <v/>
      </c>
      <c r="AB41" s="25"/>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77"/>
      <c r="H42" s="77"/>
      <c r="I42" s="77"/>
      <c r="J42" s="77"/>
      <c r="K42" s="77"/>
      <c r="L42" s="77"/>
      <c r="M42" s="77"/>
      <c r="N42" s="77"/>
      <c r="O42" s="77"/>
      <c r="P42" s="77"/>
      <c r="Q42" s="75"/>
      <c r="R42" s="77" t="str">
        <f t="shared" si="1"/>
        <v/>
      </c>
      <c r="S42" s="77" t="str">
        <f t="shared" si="1"/>
        <v/>
      </c>
      <c r="T42" s="77" t="str">
        <f t="shared" si="1"/>
        <v/>
      </c>
      <c r="U42" s="77" t="str">
        <f t="shared" si="1"/>
        <v/>
      </c>
      <c r="V42" s="77" t="str">
        <f t="shared" si="1"/>
        <v/>
      </c>
      <c r="W42" s="77" t="str">
        <f t="shared" si="1"/>
        <v/>
      </c>
      <c r="X42" s="77" t="str">
        <f t="shared" si="1"/>
        <v/>
      </c>
      <c r="Y42" s="77" t="str">
        <f t="shared" si="1"/>
        <v/>
      </c>
      <c r="Z42" s="77" t="str">
        <f t="shared" si="1"/>
        <v/>
      </c>
      <c r="AA42" s="77" t="str">
        <f t="shared" si="1"/>
        <v/>
      </c>
      <c r="AB42" s="25"/>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77"/>
      <c r="H43" s="77"/>
      <c r="I43" s="77"/>
      <c r="J43" s="77"/>
      <c r="K43" s="77"/>
      <c r="L43" s="77"/>
      <c r="M43" s="77"/>
      <c r="N43" s="77"/>
      <c r="O43" s="77"/>
      <c r="P43" s="77"/>
      <c r="Q43" s="75"/>
      <c r="R43" s="77" t="str">
        <f t="shared" si="1"/>
        <v/>
      </c>
      <c r="S43" s="77" t="str">
        <f t="shared" si="1"/>
        <v/>
      </c>
      <c r="T43" s="77" t="str">
        <f t="shared" si="1"/>
        <v/>
      </c>
      <c r="U43" s="77" t="str">
        <f t="shared" si="1"/>
        <v/>
      </c>
      <c r="V43" s="77" t="str">
        <f t="shared" si="1"/>
        <v/>
      </c>
      <c r="W43" s="77" t="str">
        <f t="shared" si="1"/>
        <v/>
      </c>
      <c r="X43" s="77" t="str">
        <f t="shared" si="1"/>
        <v/>
      </c>
      <c r="Y43" s="77" t="str">
        <f t="shared" si="1"/>
        <v/>
      </c>
      <c r="Z43" s="77" t="str">
        <f t="shared" si="1"/>
        <v/>
      </c>
      <c r="AA43" s="77" t="str">
        <f t="shared" si="1"/>
        <v/>
      </c>
      <c r="AB43" s="25"/>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77"/>
      <c r="H44" s="77"/>
      <c r="I44" s="77"/>
      <c r="J44" s="77"/>
      <c r="K44" s="77"/>
      <c r="L44" s="77"/>
      <c r="M44" s="77"/>
      <c r="N44" s="77"/>
      <c r="O44" s="77"/>
      <c r="P44" s="77"/>
      <c r="Q44" s="75"/>
      <c r="R44" s="77" t="str">
        <f t="shared" si="1"/>
        <v/>
      </c>
      <c r="S44" s="77" t="str">
        <f t="shared" si="1"/>
        <v/>
      </c>
      <c r="T44" s="77" t="str">
        <f t="shared" si="1"/>
        <v/>
      </c>
      <c r="U44" s="77" t="str">
        <f t="shared" si="1"/>
        <v/>
      </c>
      <c r="V44" s="77" t="str">
        <f t="shared" si="1"/>
        <v/>
      </c>
      <c r="W44" s="77" t="str">
        <f t="shared" si="1"/>
        <v/>
      </c>
      <c r="X44" s="77" t="str">
        <f t="shared" si="1"/>
        <v/>
      </c>
      <c r="Y44" s="77" t="str">
        <f t="shared" si="1"/>
        <v/>
      </c>
      <c r="Z44" s="77" t="str">
        <f t="shared" si="1"/>
        <v/>
      </c>
      <c r="AA44" s="77" t="str">
        <f t="shared" si="1"/>
        <v/>
      </c>
      <c r="AB44" s="25"/>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77"/>
      <c r="H45" s="77"/>
      <c r="I45" s="77"/>
      <c r="J45" s="77"/>
      <c r="K45" s="77"/>
      <c r="L45" s="77"/>
      <c r="M45" s="77"/>
      <c r="N45" s="77"/>
      <c r="O45" s="77"/>
      <c r="P45" s="77"/>
      <c r="Q45" s="75"/>
      <c r="R45" s="77" t="str">
        <f t="shared" si="1"/>
        <v/>
      </c>
      <c r="S45" s="77" t="str">
        <f t="shared" si="1"/>
        <v/>
      </c>
      <c r="T45" s="77" t="str">
        <f t="shared" si="1"/>
        <v/>
      </c>
      <c r="U45" s="77" t="str">
        <f t="shared" si="1"/>
        <v/>
      </c>
      <c r="V45" s="77" t="str">
        <f t="shared" si="1"/>
        <v/>
      </c>
      <c r="W45" s="77" t="str">
        <f t="shared" si="1"/>
        <v/>
      </c>
      <c r="X45" s="77" t="str">
        <f t="shared" si="1"/>
        <v/>
      </c>
      <c r="Y45" s="77" t="str">
        <f t="shared" si="1"/>
        <v/>
      </c>
      <c r="Z45" s="77" t="str">
        <f t="shared" si="1"/>
        <v/>
      </c>
      <c r="AA45" s="77" t="str">
        <f t="shared" si="1"/>
        <v/>
      </c>
      <c r="AB45" s="25"/>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77"/>
      <c r="H46" s="77"/>
      <c r="I46" s="77"/>
      <c r="J46" s="77"/>
      <c r="K46" s="77"/>
      <c r="L46" s="77"/>
      <c r="M46" s="77"/>
      <c r="N46" s="77"/>
      <c r="O46" s="77"/>
      <c r="P46" s="77"/>
      <c r="Q46" s="75"/>
      <c r="R46" s="77" t="str">
        <f t="shared" si="1"/>
        <v/>
      </c>
      <c r="S46" s="77" t="str">
        <f t="shared" si="1"/>
        <v/>
      </c>
      <c r="T46" s="77" t="str">
        <f t="shared" si="1"/>
        <v/>
      </c>
      <c r="U46" s="77" t="str">
        <f t="shared" si="1"/>
        <v/>
      </c>
      <c r="V46" s="77" t="str">
        <f t="shared" si="1"/>
        <v/>
      </c>
      <c r="W46" s="77" t="str">
        <f t="shared" si="1"/>
        <v/>
      </c>
      <c r="X46" s="77" t="str">
        <f t="shared" si="1"/>
        <v/>
      </c>
      <c r="Y46" s="77" t="str">
        <f t="shared" si="1"/>
        <v/>
      </c>
      <c r="Z46" s="77" t="str">
        <f t="shared" si="1"/>
        <v/>
      </c>
      <c r="AA46" s="77" t="str">
        <f t="shared" si="1"/>
        <v/>
      </c>
      <c r="AB46" s="25"/>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77"/>
      <c r="H47" s="77"/>
      <c r="I47" s="77"/>
      <c r="J47" s="77"/>
      <c r="K47" s="77"/>
      <c r="L47" s="77"/>
      <c r="M47" s="77"/>
      <c r="N47" s="77"/>
      <c r="O47" s="77"/>
      <c r="P47" s="77"/>
      <c r="Q47" s="75"/>
      <c r="R47" s="77" t="str">
        <f t="shared" si="1"/>
        <v/>
      </c>
      <c r="S47" s="77" t="str">
        <f t="shared" si="1"/>
        <v/>
      </c>
      <c r="T47" s="77" t="str">
        <f t="shared" si="1"/>
        <v/>
      </c>
      <c r="U47" s="77" t="str">
        <f t="shared" si="1"/>
        <v/>
      </c>
      <c r="V47" s="77" t="str">
        <f t="shared" si="1"/>
        <v/>
      </c>
      <c r="W47" s="77" t="str">
        <f t="shared" si="1"/>
        <v/>
      </c>
      <c r="X47" s="77" t="str">
        <f t="shared" si="1"/>
        <v/>
      </c>
      <c r="Y47" s="77" t="str">
        <f t="shared" si="1"/>
        <v/>
      </c>
      <c r="Z47" s="77" t="str">
        <f t="shared" si="1"/>
        <v/>
      </c>
      <c r="AA47" s="77" t="str">
        <f t="shared" si="1"/>
        <v/>
      </c>
      <c r="AB47" s="25"/>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77"/>
      <c r="H48" s="77"/>
      <c r="I48" s="77"/>
      <c r="J48" s="77"/>
      <c r="K48" s="77"/>
      <c r="L48" s="77"/>
      <c r="M48" s="77"/>
      <c r="N48" s="77"/>
      <c r="O48" s="77"/>
      <c r="P48" s="77"/>
      <c r="Q48" s="75"/>
      <c r="R48" s="77" t="str">
        <f t="shared" si="1"/>
        <v/>
      </c>
      <c r="S48" s="77" t="str">
        <f t="shared" si="1"/>
        <v/>
      </c>
      <c r="T48" s="77" t="str">
        <f t="shared" si="1"/>
        <v/>
      </c>
      <c r="U48" s="77" t="str">
        <f t="shared" si="1"/>
        <v/>
      </c>
      <c r="V48" s="77" t="str">
        <f t="shared" si="1"/>
        <v/>
      </c>
      <c r="W48" s="77" t="str">
        <f t="shared" si="1"/>
        <v/>
      </c>
      <c r="X48" s="77" t="str">
        <f t="shared" si="1"/>
        <v/>
      </c>
      <c r="Y48" s="77" t="str">
        <f t="shared" si="1"/>
        <v/>
      </c>
      <c r="Z48" s="77" t="str">
        <f t="shared" si="1"/>
        <v/>
      </c>
      <c r="AA48" s="77" t="str">
        <f t="shared" si="1"/>
        <v/>
      </c>
      <c r="AB48" s="25"/>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77"/>
      <c r="H49" s="77"/>
      <c r="I49" s="77"/>
      <c r="J49" s="77"/>
      <c r="K49" s="77"/>
      <c r="L49" s="77"/>
      <c r="M49" s="77"/>
      <c r="N49" s="77"/>
      <c r="O49" s="77"/>
      <c r="P49" s="77"/>
      <c r="Q49" s="75"/>
      <c r="R49" s="77" t="str">
        <f t="shared" ref="R49:AA74" si="2">IFERROR(INDEX($AE$68:$AN$68, 1, MATCH(AE$68, $G49:$P49, 0)), "")</f>
        <v/>
      </c>
      <c r="S49" s="77" t="str">
        <f t="shared" si="2"/>
        <v/>
      </c>
      <c r="T49" s="77" t="str">
        <f t="shared" si="2"/>
        <v/>
      </c>
      <c r="U49" s="77" t="str">
        <f t="shared" si="2"/>
        <v/>
      </c>
      <c r="V49" s="77" t="str">
        <f t="shared" si="2"/>
        <v/>
      </c>
      <c r="W49" s="77" t="str">
        <f t="shared" si="2"/>
        <v/>
      </c>
      <c r="X49" s="77" t="str">
        <f t="shared" si="2"/>
        <v/>
      </c>
      <c r="Y49" s="77" t="str">
        <f t="shared" si="2"/>
        <v/>
      </c>
      <c r="Z49" s="77" t="str">
        <f t="shared" si="2"/>
        <v/>
      </c>
      <c r="AA49" s="77" t="str">
        <f t="shared" si="2"/>
        <v/>
      </c>
      <c r="AB49" s="25"/>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77"/>
      <c r="H50" s="77"/>
      <c r="I50" s="77"/>
      <c r="J50" s="77"/>
      <c r="K50" s="77"/>
      <c r="L50" s="77"/>
      <c r="M50" s="77"/>
      <c r="N50" s="77"/>
      <c r="O50" s="77"/>
      <c r="P50" s="77"/>
      <c r="Q50" s="75"/>
      <c r="R50" s="77" t="str">
        <f t="shared" si="2"/>
        <v/>
      </c>
      <c r="S50" s="77" t="str">
        <f t="shared" si="2"/>
        <v/>
      </c>
      <c r="T50" s="77" t="str">
        <f t="shared" si="2"/>
        <v/>
      </c>
      <c r="U50" s="77" t="str">
        <f t="shared" si="2"/>
        <v/>
      </c>
      <c r="V50" s="77" t="str">
        <f t="shared" si="2"/>
        <v/>
      </c>
      <c r="W50" s="77" t="str">
        <f t="shared" si="2"/>
        <v/>
      </c>
      <c r="X50" s="77" t="str">
        <f t="shared" si="2"/>
        <v/>
      </c>
      <c r="Y50" s="77" t="str">
        <f t="shared" si="2"/>
        <v/>
      </c>
      <c r="Z50" s="77" t="str">
        <f t="shared" si="2"/>
        <v/>
      </c>
      <c r="AA50" s="77" t="str">
        <f t="shared" si="2"/>
        <v/>
      </c>
      <c r="AB50" s="25"/>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81"/>
      <c r="H51" s="81"/>
      <c r="I51" s="81"/>
      <c r="J51" s="81"/>
      <c r="K51" s="81"/>
      <c r="L51" s="81"/>
      <c r="M51" s="81"/>
      <c r="N51" s="81"/>
      <c r="O51" s="81"/>
      <c r="P51" s="81"/>
      <c r="Q51" s="81"/>
      <c r="R51" s="77" t="str">
        <f t="shared" si="2"/>
        <v/>
      </c>
      <c r="S51" s="77" t="str">
        <f t="shared" si="2"/>
        <v/>
      </c>
      <c r="T51" s="77" t="str">
        <f t="shared" si="2"/>
        <v/>
      </c>
      <c r="U51" s="77" t="str">
        <f t="shared" si="2"/>
        <v/>
      </c>
      <c r="V51" s="77" t="str">
        <f t="shared" si="2"/>
        <v/>
      </c>
      <c r="W51" s="77" t="str">
        <f t="shared" si="2"/>
        <v/>
      </c>
      <c r="X51" s="77" t="str">
        <f t="shared" si="2"/>
        <v/>
      </c>
      <c r="Y51" s="77" t="str">
        <f t="shared" si="2"/>
        <v/>
      </c>
      <c r="Z51" s="77" t="str">
        <f t="shared" si="2"/>
        <v/>
      </c>
      <c r="AA51" s="77" t="str">
        <f t="shared" si="2"/>
        <v/>
      </c>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c r="G52" s="82"/>
      <c r="H52" s="82"/>
      <c r="I52" s="82"/>
      <c r="J52" s="82"/>
      <c r="K52" s="82"/>
      <c r="L52" s="82"/>
      <c r="M52" s="82"/>
      <c r="N52" s="82"/>
      <c r="O52" s="82"/>
      <c r="P52" s="82"/>
      <c r="Q52" s="82"/>
      <c r="R52" s="77" t="str">
        <f t="shared" si="2"/>
        <v/>
      </c>
      <c r="S52" s="77" t="str">
        <f t="shared" si="2"/>
        <v/>
      </c>
      <c r="T52" s="77" t="str">
        <f t="shared" si="2"/>
        <v/>
      </c>
      <c r="U52" s="77" t="str">
        <f t="shared" si="2"/>
        <v/>
      </c>
      <c r="V52" s="77" t="str">
        <f t="shared" si="2"/>
        <v/>
      </c>
      <c r="W52" s="77" t="str">
        <f t="shared" si="2"/>
        <v/>
      </c>
      <c r="X52" s="77" t="str">
        <f t="shared" si="2"/>
        <v/>
      </c>
      <c r="Y52" s="77" t="str">
        <f t="shared" si="2"/>
        <v/>
      </c>
      <c r="Z52" s="77" t="str">
        <f t="shared" si="2"/>
        <v/>
      </c>
      <c r="AA52" s="77" t="str">
        <f t="shared" si="2"/>
        <v/>
      </c>
    </row>
    <row r="53" spans="1:82">
      <c r="A53" s="42"/>
      <c r="G53" s="82"/>
      <c r="H53" s="82"/>
      <c r="I53" s="82"/>
      <c r="J53" s="82"/>
      <c r="K53" s="82"/>
      <c r="L53" s="82"/>
      <c r="M53" s="82"/>
      <c r="N53" s="82"/>
      <c r="O53" s="82"/>
      <c r="P53" s="82"/>
      <c r="Q53" s="82"/>
      <c r="R53" s="77" t="str">
        <f t="shared" si="2"/>
        <v/>
      </c>
      <c r="S53" s="77" t="str">
        <f t="shared" si="2"/>
        <v/>
      </c>
      <c r="T53" s="77" t="str">
        <f t="shared" si="2"/>
        <v/>
      </c>
      <c r="U53" s="77" t="str">
        <f t="shared" si="2"/>
        <v/>
      </c>
      <c r="V53" s="77" t="str">
        <f t="shared" si="2"/>
        <v/>
      </c>
      <c r="W53" s="77" t="str">
        <f t="shared" si="2"/>
        <v/>
      </c>
      <c r="X53" s="77" t="str">
        <f t="shared" si="2"/>
        <v/>
      </c>
      <c r="Y53" s="77" t="str">
        <f t="shared" si="2"/>
        <v/>
      </c>
      <c r="Z53" s="77" t="str">
        <f t="shared" si="2"/>
        <v/>
      </c>
      <c r="AA53" s="77" t="str">
        <f t="shared" si="2"/>
        <v/>
      </c>
    </row>
    <row r="54" spans="1:82">
      <c r="A54" s="42"/>
      <c r="G54" s="82"/>
      <c r="H54" s="82"/>
      <c r="I54" s="82"/>
      <c r="J54" s="82"/>
      <c r="K54" s="82"/>
      <c r="L54" s="82"/>
      <c r="M54" s="82"/>
      <c r="N54" s="82"/>
      <c r="O54" s="82"/>
      <c r="P54" s="82"/>
      <c r="Q54" s="82"/>
      <c r="R54" s="77" t="str">
        <f t="shared" si="2"/>
        <v/>
      </c>
      <c r="S54" s="77" t="str">
        <f t="shared" si="2"/>
        <v/>
      </c>
      <c r="T54" s="77" t="str">
        <f t="shared" si="2"/>
        <v/>
      </c>
      <c r="U54" s="77" t="str">
        <f t="shared" si="2"/>
        <v/>
      </c>
      <c r="V54" s="77" t="str">
        <f t="shared" si="2"/>
        <v/>
      </c>
      <c r="W54" s="77" t="str">
        <f t="shared" si="2"/>
        <v/>
      </c>
      <c r="X54" s="77" t="str">
        <f t="shared" si="2"/>
        <v/>
      </c>
      <c r="Y54" s="77" t="str">
        <f t="shared" si="2"/>
        <v/>
      </c>
      <c r="Z54" s="77" t="str">
        <f t="shared" si="2"/>
        <v/>
      </c>
      <c r="AA54" s="77" t="str">
        <f t="shared" si="2"/>
        <v/>
      </c>
    </row>
    <row r="55" spans="1:82">
      <c r="A55" s="42"/>
      <c r="G55" s="82"/>
      <c r="H55" s="82"/>
      <c r="I55" s="82"/>
      <c r="J55" s="82"/>
      <c r="K55" s="82"/>
      <c r="L55" s="82"/>
      <c r="M55" s="82"/>
      <c r="N55" s="82"/>
      <c r="O55" s="82"/>
      <c r="P55" s="82"/>
      <c r="Q55" s="82"/>
      <c r="R55" s="77" t="str">
        <f t="shared" si="2"/>
        <v/>
      </c>
      <c r="S55" s="77" t="str">
        <f t="shared" si="2"/>
        <v/>
      </c>
      <c r="T55" s="77" t="str">
        <f t="shared" si="2"/>
        <v/>
      </c>
      <c r="U55" s="77" t="str">
        <f t="shared" si="2"/>
        <v/>
      </c>
      <c r="V55" s="77" t="str">
        <f t="shared" si="2"/>
        <v/>
      </c>
      <c r="W55" s="77" t="str">
        <f t="shared" si="2"/>
        <v/>
      </c>
      <c r="X55" s="77" t="str">
        <f t="shared" si="2"/>
        <v/>
      </c>
      <c r="Y55" s="77" t="str">
        <f t="shared" si="2"/>
        <v/>
      </c>
      <c r="Z55" s="77" t="str">
        <f t="shared" si="2"/>
        <v/>
      </c>
      <c r="AA55" s="77" t="str">
        <f t="shared" si="2"/>
        <v/>
      </c>
    </row>
    <row r="56" spans="1:82">
      <c r="A56" s="42"/>
      <c r="G56" s="82"/>
      <c r="H56" s="82"/>
      <c r="I56" s="82"/>
      <c r="J56" s="82"/>
      <c r="K56" s="82"/>
      <c r="L56" s="82"/>
      <c r="M56" s="82"/>
      <c r="N56" s="82"/>
      <c r="O56" s="82"/>
      <c r="P56" s="82"/>
      <c r="Q56" s="82"/>
      <c r="R56" s="77" t="str">
        <f t="shared" si="2"/>
        <v/>
      </c>
      <c r="S56" s="77" t="str">
        <f t="shared" si="2"/>
        <v/>
      </c>
      <c r="T56" s="77" t="str">
        <f t="shared" si="2"/>
        <v/>
      </c>
      <c r="U56" s="77" t="str">
        <f t="shared" si="2"/>
        <v/>
      </c>
      <c r="V56" s="77" t="str">
        <f t="shared" si="2"/>
        <v/>
      </c>
      <c r="W56" s="77" t="str">
        <f t="shared" si="2"/>
        <v/>
      </c>
      <c r="X56" s="77" t="str">
        <f t="shared" si="2"/>
        <v/>
      </c>
      <c r="Y56" s="77" t="str">
        <f t="shared" si="2"/>
        <v/>
      </c>
      <c r="Z56" s="77" t="str">
        <f t="shared" si="2"/>
        <v/>
      </c>
      <c r="AA56" s="77" t="str">
        <f t="shared" si="2"/>
        <v/>
      </c>
    </row>
    <row r="57" spans="1:82">
      <c r="A57" s="42"/>
      <c r="G57" s="82"/>
      <c r="H57" s="82"/>
      <c r="I57" s="82"/>
      <c r="J57" s="82"/>
      <c r="K57" s="82"/>
      <c r="L57" s="82"/>
      <c r="M57" s="82"/>
      <c r="N57" s="82"/>
      <c r="O57" s="82"/>
      <c r="P57" s="82"/>
      <c r="Q57" s="82"/>
      <c r="R57" s="77" t="str">
        <f t="shared" si="2"/>
        <v/>
      </c>
      <c r="S57" s="77" t="str">
        <f t="shared" si="2"/>
        <v/>
      </c>
      <c r="T57" s="77" t="str">
        <f t="shared" si="2"/>
        <v/>
      </c>
      <c r="U57" s="77" t="str">
        <f t="shared" si="2"/>
        <v/>
      </c>
      <c r="V57" s="77" t="str">
        <f t="shared" si="2"/>
        <v/>
      </c>
      <c r="W57" s="77" t="str">
        <f t="shared" si="2"/>
        <v/>
      </c>
      <c r="X57" s="77" t="str">
        <f t="shared" si="2"/>
        <v/>
      </c>
      <c r="Y57" s="77" t="str">
        <f t="shared" si="2"/>
        <v/>
      </c>
      <c r="Z57" s="77" t="str">
        <f t="shared" si="2"/>
        <v/>
      </c>
      <c r="AA57" s="77" t="str">
        <f t="shared" si="2"/>
        <v/>
      </c>
    </row>
    <row r="58" spans="1:82">
      <c r="A58" s="42"/>
      <c r="G58" s="82"/>
      <c r="H58" s="82"/>
      <c r="I58" s="82"/>
      <c r="J58" s="82"/>
      <c r="K58" s="82"/>
      <c r="L58" s="82"/>
      <c r="M58" s="82"/>
      <c r="N58" s="82"/>
      <c r="O58" s="82"/>
      <c r="P58" s="82"/>
      <c r="Q58" s="82"/>
      <c r="R58" s="77" t="str">
        <f t="shared" si="2"/>
        <v/>
      </c>
      <c r="S58" s="77" t="str">
        <f t="shared" si="2"/>
        <v/>
      </c>
      <c r="T58" s="77" t="str">
        <f t="shared" si="2"/>
        <v/>
      </c>
      <c r="U58" s="77" t="str">
        <f t="shared" si="2"/>
        <v/>
      </c>
      <c r="V58" s="77" t="str">
        <f t="shared" si="2"/>
        <v/>
      </c>
      <c r="W58" s="77" t="str">
        <f t="shared" si="2"/>
        <v/>
      </c>
      <c r="X58" s="77" t="str">
        <f t="shared" si="2"/>
        <v/>
      </c>
      <c r="Y58" s="77" t="str">
        <f t="shared" si="2"/>
        <v/>
      </c>
      <c r="Z58" s="77" t="str">
        <f t="shared" si="2"/>
        <v/>
      </c>
      <c r="AA58" s="77" t="str">
        <f t="shared" si="2"/>
        <v/>
      </c>
      <c r="AM58" s="83"/>
    </row>
    <row r="59" spans="1:82">
      <c r="A59" s="42"/>
      <c r="G59" s="82"/>
      <c r="H59" s="82"/>
      <c r="I59" s="82"/>
      <c r="J59" s="82"/>
      <c r="K59" s="82"/>
      <c r="L59" s="82"/>
      <c r="M59" s="82"/>
      <c r="N59" s="82"/>
      <c r="O59" s="82"/>
      <c r="P59" s="82"/>
      <c r="Q59" s="82"/>
      <c r="R59" s="77" t="str">
        <f t="shared" si="2"/>
        <v/>
      </c>
      <c r="S59" s="77" t="str">
        <f t="shared" si="2"/>
        <v/>
      </c>
      <c r="T59" s="77" t="str">
        <f t="shared" si="2"/>
        <v/>
      </c>
      <c r="U59" s="77" t="str">
        <f t="shared" si="2"/>
        <v/>
      </c>
      <c r="V59" s="77" t="str">
        <f t="shared" si="2"/>
        <v/>
      </c>
      <c r="W59" s="77" t="str">
        <f t="shared" si="2"/>
        <v/>
      </c>
      <c r="X59" s="77" t="str">
        <f t="shared" si="2"/>
        <v/>
      </c>
      <c r="Y59" s="77" t="str">
        <f t="shared" si="2"/>
        <v/>
      </c>
      <c r="Z59" s="77" t="str">
        <f t="shared" si="2"/>
        <v/>
      </c>
      <c r="AA59" s="77" t="str">
        <f t="shared" si="2"/>
        <v/>
      </c>
    </row>
    <row r="60" spans="1:82">
      <c r="A60" s="42"/>
      <c r="G60" s="82"/>
      <c r="H60" s="82"/>
      <c r="I60" s="82"/>
      <c r="J60" s="82"/>
      <c r="K60" s="82"/>
      <c r="L60" s="82"/>
      <c r="M60" s="82"/>
      <c r="N60" s="82"/>
      <c r="O60" s="82"/>
      <c r="P60" s="82"/>
      <c r="Q60" s="82"/>
      <c r="R60" s="77" t="str">
        <f t="shared" si="2"/>
        <v/>
      </c>
      <c r="S60" s="77" t="str">
        <f t="shared" si="2"/>
        <v/>
      </c>
      <c r="T60" s="77" t="str">
        <f t="shared" si="2"/>
        <v/>
      </c>
      <c r="U60" s="77" t="str">
        <f t="shared" si="2"/>
        <v/>
      </c>
      <c r="V60" s="77" t="str">
        <f t="shared" si="2"/>
        <v/>
      </c>
      <c r="W60" s="77" t="str">
        <f t="shared" si="2"/>
        <v/>
      </c>
      <c r="X60" s="77" t="str">
        <f t="shared" si="2"/>
        <v/>
      </c>
      <c r="Y60" s="77" t="str">
        <f t="shared" si="2"/>
        <v/>
      </c>
      <c r="Z60" s="77" t="str">
        <f t="shared" si="2"/>
        <v/>
      </c>
      <c r="AA60" s="77" t="str">
        <f t="shared" si="2"/>
        <v/>
      </c>
    </row>
    <row r="61" spans="1:82">
      <c r="A61" s="42"/>
      <c r="G61" s="82"/>
      <c r="H61" s="82"/>
      <c r="I61" s="82"/>
      <c r="J61" s="82"/>
      <c r="K61" s="82"/>
      <c r="L61" s="82"/>
      <c r="M61" s="82"/>
      <c r="N61" s="82"/>
      <c r="O61" s="82"/>
      <c r="P61" s="82"/>
      <c r="Q61" s="82"/>
      <c r="R61" s="77" t="str">
        <f t="shared" si="2"/>
        <v/>
      </c>
      <c r="S61" s="77" t="str">
        <f t="shared" si="2"/>
        <v/>
      </c>
      <c r="T61" s="77" t="str">
        <f t="shared" si="2"/>
        <v/>
      </c>
      <c r="U61" s="77" t="str">
        <f t="shared" si="2"/>
        <v/>
      </c>
      <c r="V61" s="77" t="str">
        <f t="shared" si="2"/>
        <v/>
      </c>
      <c r="W61" s="77" t="str">
        <f t="shared" si="2"/>
        <v/>
      </c>
      <c r="X61" s="77" t="str">
        <f t="shared" si="2"/>
        <v/>
      </c>
      <c r="Y61" s="77" t="str">
        <f t="shared" si="2"/>
        <v/>
      </c>
      <c r="Z61" s="77" t="str">
        <f t="shared" si="2"/>
        <v/>
      </c>
      <c r="AA61" s="77" t="str">
        <f t="shared" si="2"/>
        <v/>
      </c>
    </row>
    <row r="62" spans="1:82">
      <c r="A62" s="42"/>
      <c r="G62" s="82"/>
      <c r="H62" s="82"/>
      <c r="I62" s="82"/>
      <c r="J62" s="82"/>
      <c r="K62" s="82"/>
      <c r="L62" s="82"/>
      <c r="M62" s="82"/>
      <c r="N62" s="82"/>
      <c r="O62" s="82"/>
      <c r="P62" s="82"/>
      <c r="Q62" s="82"/>
      <c r="R62" s="77" t="str">
        <f t="shared" si="2"/>
        <v/>
      </c>
      <c r="S62" s="77" t="str">
        <f t="shared" si="2"/>
        <v/>
      </c>
      <c r="T62" s="77" t="str">
        <f t="shared" si="2"/>
        <v/>
      </c>
      <c r="U62" s="77" t="str">
        <f t="shared" si="2"/>
        <v/>
      </c>
      <c r="V62" s="77" t="str">
        <f t="shared" si="2"/>
        <v/>
      </c>
      <c r="W62" s="77" t="str">
        <f t="shared" si="2"/>
        <v/>
      </c>
      <c r="X62" s="77" t="str">
        <f t="shared" si="2"/>
        <v/>
      </c>
      <c r="Y62" s="77" t="str">
        <f t="shared" si="2"/>
        <v/>
      </c>
      <c r="Z62" s="77" t="str">
        <f t="shared" si="2"/>
        <v/>
      </c>
      <c r="AA62" s="77" t="str">
        <f t="shared" si="2"/>
        <v/>
      </c>
    </row>
    <row r="63" spans="1:82">
      <c r="A63" s="42"/>
      <c r="G63" s="82"/>
      <c r="H63" s="82"/>
      <c r="I63" s="82"/>
      <c r="J63" s="82"/>
      <c r="K63" s="82"/>
      <c r="L63" s="82"/>
      <c r="M63" s="82"/>
      <c r="N63" s="82"/>
      <c r="O63" s="82"/>
      <c r="P63" s="82"/>
      <c r="Q63" s="82"/>
      <c r="R63" s="77" t="str">
        <f t="shared" si="2"/>
        <v/>
      </c>
      <c r="S63" s="77" t="str">
        <f t="shared" si="2"/>
        <v/>
      </c>
      <c r="T63" s="77" t="str">
        <f t="shared" si="2"/>
        <v/>
      </c>
      <c r="U63" s="77" t="str">
        <f t="shared" si="2"/>
        <v/>
      </c>
      <c r="V63" s="77" t="str">
        <f t="shared" si="2"/>
        <v/>
      </c>
      <c r="W63" s="77" t="str">
        <f t="shared" si="2"/>
        <v/>
      </c>
      <c r="X63" s="77" t="str">
        <f t="shared" si="2"/>
        <v/>
      </c>
      <c r="Y63" s="77" t="str">
        <f t="shared" si="2"/>
        <v/>
      </c>
      <c r="Z63" s="77" t="str">
        <f t="shared" si="2"/>
        <v/>
      </c>
      <c r="AA63" s="77" t="str">
        <f t="shared" si="2"/>
        <v/>
      </c>
      <c r="AE63" s="127" t="s">
        <v>119</v>
      </c>
      <c r="AF63" s="179"/>
      <c r="AG63" s="179"/>
      <c r="AH63" s="179"/>
      <c r="AI63" s="179"/>
      <c r="AJ63" s="179"/>
      <c r="AK63" s="179"/>
      <c r="AL63" s="179"/>
      <c r="AM63" s="179"/>
      <c r="AN63" s="179"/>
      <c r="AQ63" s="41" t="s">
        <v>120</v>
      </c>
      <c r="AR63" s="41" t="s">
        <v>121</v>
      </c>
      <c r="AS63" s="127" t="s">
        <v>122</v>
      </c>
      <c r="AT63" s="127"/>
      <c r="AU63" s="127" t="s">
        <v>123</v>
      </c>
      <c r="AV63" s="127"/>
    </row>
    <row r="64" spans="1:82">
      <c r="A64" s="42"/>
      <c r="G64" s="82"/>
      <c r="H64" s="82"/>
      <c r="I64" s="82"/>
      <c r="J64" s="82"/>
      <c r="K64" s="82"/>
      <c r="L64" s="82"/>
      <c r="M64" s="82"/>
      <c r="N64" s="82"/>
      <c r="O64" s="82"/>
      <c r="P64" s="82"/>
      <c r="Q64" s="82"/>
      <c r="R64" s="77" t="str">
        <f t="shared" si="2"/>
        <v/>
      </c>
      <c r="S64" s="77" t="str">
        <f t="shared" si="2"/>
        <v/>
      </c>
      <c r="T64" s="77" t="str">
        <f t="shared" si="2"/>
        <v/>
      </c>
      <c r="U64" s="77" t="str">
        <f t="shared" si="2"/>
        <v/>
      </c>
      <c r="V64" s="77" t="str">
        <f t="shared" si="2"/>
        <v/>
      </c>
      <c r="W64" s="77" t="str">
        <f t="shared" si="2"/>
        <v/>
      </c>
      <c r="X64" s="77" t="str">
        <f t="shared" si="2"/>
        <v/>
      </c>
      <c r="Y64" s="77" t="str">
        <f t="shared" si="2"/>
        <v/>
      </c>
      <c r="Z64" s="77" t="str">
        <f t="shared" si="2"/>
        <v/>
      </c>
      <c r="AA64" s="77" t="str">
        <f t="shared" si="2"/>
        <v/>
      </c>
      <c r="AE64" s="84" t="s">
        <v>48</v>
      </c>
      <c r="AF64" s="84" t="s">
        <v>49</v>
      </c>
      <c r="AG64" s="84" t="s">
        <v>50</v>
      </c>
      <c r="AH64" s="84" t="s">
        <v>51</v>
      </c>
      <c r="AI64" s="84" t="s">
        <v>52</v>
      </c>
      <c r="AJ64" s="84" t="s">
        <v>53</v>
      </c>
      <c r="AK64" s="84" t="s">
        <v>54</v>
      </c>
      <c r="AL64" s="84" t="s">
        <v>55</v>
      </c>
      <c r="AM64" s="84" t="s">
        <v>56</v>
      </c>
      <c r="AN64" s="84" t="s">
        <v>57</v>
      </c>
      <c r="AQ64" s="84" t="s">
        <v>124</v>
      </c>
      <c r="AR64" s="85" t="s">
        <v>125</v>
      </c>
      <c r="AS64" s="180" t="s">
        <v>126</v>
      </c>
      <c r="AT64" s="180"/>
      <c r="AU64" s="180" t="s">
        <v>127</v>
      </c>
      <c r="AV64" s="180"/>
    </row>
    <row r="65" spans="1:52">
      <c r="A65" s="42"/>
      <c r="G65" s="82"/>
      <c r="H65" s="82"/>
      <c r="I65" s="82"/>
      <c r="J65" s="82"/>
      <c r="K65" s="82"/>
      <c r="L65" s="82"/>
      <c r="M65" s="82"/>
      <c r="N65" s="82"/>
      <c r="O65" s="82"/>
      <c r="P65" s="82"/>
      <c r="Q65" s="82"/>
      <c r="R65" s="77" t="str">
        <f t="shared" si="2"/>
        <v/>
      </c>
      <c r="S65" s="77" t="str">
        <f t="shared" si="2"/>
        <v/>
      </c>
      <c r="T65" s="77" t="str">
        <f t="shared" si="2"/>
        <v/>
      </c>
      <c r="U65" s="77" t="str">
        <f t="shared" si="2"/>
        <v/>
      </c>
      <c r="V65" s="77" t="str">
        <f t="shared" si="2"/>
        <v/>
      </c>
      <c r="W65" s="77" t="str">
        <f t="shared" si="2"/>
        <v/>
      </c>
      <c r="X65" s="77" t="str">
        <f t="shared" si="2"/>
        <v/>
      </c>
      <c r="Y65" s="77" t="str">
        <f t="shared" si="2"/>
        <v/>
      </c>
      <c r="Z65" s="77" t="str">
        <f t="shared" si="2"/>
        <v/>
      </c>
      <c r="AA65" s="77" t="str">
        <f t="shared" si="2"/>
        <v/>
      </c>
      <c r="AE65">
        <f>IFERROR(MATCH(Import!AE68, Import!$AR$74:$AR$83, 0),  MATCH(Import!AE68, Import!$AS$74:$AS$83, 0))</f>
        <v>5</v>
      </c>
      <c r="AF65">
        <f>IFERROR(MATCH(Import!AF68, Import!$AR$74:$AR$83, 0),  MATCH(Import!AF68, Import!$AS$74:$AS$83, 0))</f>
        <v>1</v>
      </c>
      <c r="AG65">
        <f>IFERROR(MATCH([1]Import!AG68, [1]Import!$AR$74:$AR$83, 0),  MATCH([1]Import!AG68, [1]Import!$AS$74:$AS$83, 0))</f>
        <v>3</v>
      </c>
      <c r="AH65">
        <f>IFERROR(MATCH([1]Import!AH68, [1]Import!$AR$74:$AR$83, 0),  MATCH([1]Import!AH68, [1]Import!$AS$74:$AS$83, 0))</f>
        <v>4</v>
      </c>
      <c r="AI65">
        <f>IFERROR(MATCH([1]Import!AI68, [1]Import!$AR$74:$AR$83, 0),  MATCH([1]Import!AI68, [1]Import!$AS$74:$AS$83, 0))</f>
        <v>2</v>
      </c>
      <c r="AJ65">
        <f>IFERROR(MATCH([1]Import!AJ68, [1]Import!$AR$74:$AR$83, 0),  MATCH([1]Import!AJ68, [1]Import!$AS$74:$AS$83, 0))</f>
        <v>6</v>
      </c>
      <c r="AK65">
        <f>IFERROR(MATCH([1]Import!AK68, [1]Import!$AR$74:$AR$83, 0),  MATCH([1]Import!AK68, [1]Import!$AS$74:$AS$83, 0))</f>
        <v>7</v>
      </c>
      <c r="AL65">
        <f>IFERROR(MATCH([1]Import!AL68, [1]Import!$AR$74:$AR$83, 0),  MATCH([1]Import!AL68, [1]Import!$AS$74:$AS$83, 0))</f>
        <v>8</v>
      </c>
      <c r="AM65">
        <f>IFERROR(MATCH([1]Import!AM68, [1]Import!$AR$74:$AR$83, 0),  MATCH([1]Import!AM68, [1]Import!$AS$74:$AS$83, 0))</f>
        <v>9</v>
      </c>
      <c r="AN65">
        <f>IFERROR(MATCH([1]Import!AN68, [1]Import!$AR$74:$AR$83, 0),  MATCH([1]Import!AN68, [1]Import!$AS$74:$AS$83, 0))</f>
        <v>10</v>
      </c>
      <c r="AQ65">
        <f>COUNTA(Q9:Q1048576)</f>
        <v>25</v>
      </c>
      <c r="AR65">
        <f>COUNTA(R9:AA9)</f>
        <v>10</v>
      </c>
      <c r="AS65" s="181">
        <f>12*DEVSQ(AQ69:AZ69)</f>
        <v>35190</v>
      </c>
      <c r="AT65" s="181"/>
      <c r="AU65" s="181">
        <f>AQ65^2*(AR65^3-AR65)</f>
        <v>618750</v>
      </c>
      <c r="AV65" s="181"/>
    </row>
    <row r="66" spans="1:52">
      <c r="A66" s="42"/>
      <c r="G66" s="82"/>
      <c r="H66" s="82"/>
      <c r="I66" s="82"/>
      <c r="J66" s="82"/>
      <c r="K66" s="82"/>
      <c r="L66" s="82"/>
      <c r="M66" s="82"/>
      <c r="N66" s="82"/>
      <c r="O66" s="82"/>
      <c r="P66" s="82"/>
      <c r="Q66" s="82"/>
      <c r="R66" s="77" t="str">
        <f t="shared" si="2"/>
        <v/>
      </c>
      <c r="S66" s="77" t="str">
        <f t="shared" si="2"/>
        <v/>
      </c>
      <c r="T66" s="77" t="str">
        <f t="shared" si="2"/>
        <v/>
      </c>
      <c r="U66" s="77" t="str">
        <f t="shared" si="2"/>
        <v/>
      </c>
      <c r="V66" s="77" t="str">
        <f t="shared" si="2"/>
        <v/>
      </c>
      <c r="W66" s="77" t="str">
        <f t="shared" si="2"/>
        <v/>
      </c>
      <c r="X66" s="77" t="str">
        <f t="shared" si="2"/>
        <v/>
      </c>
      <c r="Y66" s="77" t="str">
        <f t="shared" si="2"/>
        <v/>
      </c>
      <c r="Z66" s="77" t="str">
        <f t="shared" si="2"/>
        <v/>
      </c>
      <c r="AA66" s="77" t="str">
        <f t="shared" si="2"/>
        <v/>
      </c>
    </row>
    <row r="67" spans="1:52">
      <c r="A67" s="42"/>
      <c r="G67" s="82"/>
      <c r="H67" s="82"/>
      <c r="I67" s="82"/>
      <c r="J67" s="82"/>
      <c r="K67" s="82"/>
      <c r="L67" s="82"/>
      <c r="M67" s="82"/>
      <c r="N67" s="82"/>
      <c r="O67" s="82"/>
      <c r="P67" s="82"/>
      <c r="Q67" s="82"/>
      <c r="R67" s="77" t="str">
        <f t="shared" si="2"/>
        <v/>
      </c>
      <c r="S67" s="77" t="str">
        <f t="shared" si="2"/>
        <v/>
      </c>
      <c r="T67" s="77" t="str">
        <f t="shared" si="2"/>
        <v/>
      </c>
      <c r="U67" s="77" t="str">
        <f t="shared" si="2"/>
        <v/>
      </c>
      <c r="V67" s="77" t="str">
        <f t="shared" si="2"/>
        <v/>
      </c>
      <c r="W67" s="77" t="str">
        <f t="shared" si="2"/>
        <v/>
      </c>
      <c r="X67" s="77" t="str">
        <f t="shared" si="2"/>
        <v/>
      </c>
      <c r="Y67" s="77" t="str">
        <f t="shared" si="2"/>
        <v/>
      </c>
      <c r="Z67" s="77" t="str">
        <f t="shared" si="2"/>
        <v/>
      </c>
      <c r="AA67" s="77" t="str">
        <f t="shared" si="2"/>
        <v/>
      </c>
      <c r="AE67" s="127" t="s">
        <v>128</v>
      </c>
      <c r="AF67" s="179"/>
      <c r="AG67" s="179"/>
      <c r="AH67" s="179"/>
      <c r="AI67" s="179"/>
      <c r="AJ67" s="179"/>
      <c r="AK67" s="179"/>
      <c r="AL67" s="179"/>
      <c r="AM67" s="179"/>
      <c r="AN67" s="179"/>
      <c r="AQ67" s="127" t="s">
        <v>129</v>
      </c>
      <c r="AR67" s="127"/>
      <c r="AS67" s="127"/>
      <c r="AT67" s="127"/>
      <c r="AU67" s="127"/>
      <c r="AV67" s="127"/>
      <c r="AW67" s="127"/>
      <c r="AX67" s="127"/>
      <c r="AY67" s="127"/>
      <c r="AZ67" s="127"/>
    </row>
    <row r="68" spans="1:52">
      <c r="A68" s="42"/>
      <c r="G68" s="82"/>
      <c r="H68" s="82"/>
      <c r="I68" s="82"/>
      <c r="J68" s="82"/>
      <c r="K68" s="82"/>
      <c r="L68" s="82"/>
      <c r="M68" s="82"/>
      <c r="N68" s="82"/>
      <c r="O68" s="82"/>
      <c r="P68" s="82"/>
      <c r="Q68" s="82"/>
      <c r="R68" s="77" t="str">
        <f t="shared" si="2"/>
        <v/>
      </c>
      <c r="S68" s="77" t="str">
        <f t="shared" si="2"/>
        <v/>
      </c>
      <c r="T68" s="77" t="str">
        <f t="shared" si="2"/>
        <v/>
      </c>
      <c r="U68" s="77" t="str">
        <f t="shared" si="2"/>
        <v/>
      </c>
      <c r="V68" s="77" t="str">
        <f t="shared" si="2"/>
        <v/>
      </c>
      <c r="W68" s="77" t="str">
        <f t="shared" si="2"/>
        <v/>
      </c>
      <c r="X68" s="77" t="str">
        <f t="shared" si="2"/>
        <v/>
      </c>
      <c r="Y68" s="77" t="str">
        <f t="shared" si="2"/>
        <v/>
      </c>
      <c r="Z68" s="77" t="str">
        <f t="shared" si="2"/>
        <v/>
      </c>
      <c r="AA68" s="77" t="str">
        <f t="shared" si="2"/>
        <v/>
      </c>
      <c r="AE68">
        <v>1</v>
      </c>
      <c r="AF68">
        <v>2</v>
      </c>
      <c r="AG68">
        <v>3</v>
      </c>
      <c r="AH68">
        <v>4</v>
      </c>
      <c r="AI68">
        <v>5</v>
      </c>
      <c r="AJ68">
        <v>6</v>
      </c>
      <c r="AK68">
        <v>7</v>
      </c>
      <c r="AL68">
        <v>8</v>
      </c>
      <c r="AM68">
        <v>9</v>
      </c>
      <c r="AN68">
        <v>10</v>
      </c>
      <c r="AQ68" s="85" t="s">
        <v>66</v>
      </c>
      <c r="AR68" s="85" t="s">
        <v>67</v>
      </c>
      <c r="AS68" s="85" t="s">
        <v>68</v>
      </c>
      <c r="AT68" s="85" t="s">
        <v>69</v>
      </c>
      <c r="AU68" s="85" t="s">
        <v>70</v>
      </c>
      <c r="AV68" s="85" t="s">
        <v>71</v>
      </c>
      <c r="AW68" s="85" t="s">
        <v>72</v>
      </c>
      <c r="AX68" s="85" t="s">
        <v>73</v>
      </c>
      <c r="AY68" s="85" t="s">
        <v>74</v>
      </c>
      <c r="AZ68" s="85" t="s">
        <v>75</v>
      </c>
    </row>
    <row r="69" spans="1:52">
      <c r="A69" s="42"/>
      <c r="G69" s="82"/>
      <c r="H69" s="82"/>
      <c r="I69" s="82"/>
      <c r="J69" s="82"/>
      <c r="K69" s="82"/>
      <c r="L69" s="82"/>
      <c r="M69" s="82"/>
      <c r="N69" s="82"/>
      <c r="O69" s="82"/>
      <c r="P69" s="82"/>
      <c r="Q69" s="82"/>
      <c r="R69" s="77" t="str">
        <f t="shared" si="2"/>
        <v/>
      </c>
      <c r="S69" s="77" t="str">
        <f t="shared" si="2"/>
        <v/>
      </c>
      <c r="T69" s="77" t="str">
        <f t="shared" si="2"/>
        <v/>
      </c>
      <c r="U69" s="77" t="str">
        <f t="shared" si="2"/>
        <v/>
      </c>
      <c r="V69" s="77" t="str">
        <f t="shared" si="2"/>
        <v/>
      </c>
      <c r="W69" s="77" t="str">
        <f t="shared" si="2"/>
        <v/>
      </c>
      <c r="X69" s="77" t="str">
        <f t="shared" si="2"/>
        <v/>
      </c>
      <c r="Y69" s="77" t="str">
        <f t="shared" si="2"/>
        <v/>
      </c>
      <c r="Z69" s="77" t="str">
        <f t="shared" si="2"/>
        <v/>
      </c>
      <c r="AA69" s="77" t="str">
        <f t="shared" si="2"/>
        <v/>
      </c>
      <c r="AQ69">
        <f>SUM(R$9:R$1048576)</f>
        <v>119</v>
      </c>
      <c r="AR69">
        <f t="shared" ref="AR69:AZ69" si="3">SUM(S$9:S$1048576)</f>
        <v>129</v>
      </c>
      <c r="AS69">
        <f t="shared" si="3"/>
        <v>121</v>
      </c>
      <c r="AT69">
        <f t="shared" si="3"/>
        <v>128</v>
      </c>
      <c r="AU69">
        <f t="shared" si="3"/>
        <v>118</v>
      </c>
      <c r="AV69">
        <f t="shared" si="3"/>
        <v>139</v>
      </c>
      <c r="AW69">
        <f t="shared" si="3"/>
        <v>143</v>
      </c>
      <c r="AX69">
        <f t="shared" si="3"/>
        <v>147</v>
      </c>
      <c r="AY69">
        <f t="shared" si="3"/>
        <v>159</v>
      </c>
      <c r="AZ69">
        <f t="shared" si="3"/>
        <v>172</v>
      </c>
    </row>
    <row r="70" spans="1:52">
      <c r="A70" s="42"/>
      <c r="G70" s="82"/>
      <c r="H70" s="82"/>
      <c r="I70" s="82"/>
      <c r="J70" s="82"/>
      <c r="K70" s="82"/>
      <c r="L70" s="82"/>
      <c r="M70" s="82"/>
      <c r="N70" s="82"/>
      <c r="O70" s="82"/>
      <c r="P70" s="82"/>
      <c r="Q70" s="82"/>
      <c r="R70" s="77" t="str">
        <f t="shared" si="2"/>
        <v/>
      </c>
      <c r="S70" s="77" t="str">
        <f t="shared" si="2"/>
        <v/>
      </c>
      <c r="T70" s="77" t="str">
        <f t="shared" si="2"/>
        <v/>
      </c>
      <c r="U70" s="77" t="str">
        <f t="shared" si="2"/>
        <v/>
      </c>
      <c r="V70" s="77" t="str">
        <f t="shared" si="2"/>
        <v/>
      </c>
      <c r="W70" s="77" t="str">
        <f t="shared" si="2"/>
        <v/>
      </c>
      <c r="X70" s="77" t="str">
        <f t="shared" si="2"/>
        <v/>
      </c>
      <c r="Y70" s="77" t="str">
        <f t="shared" si="2"/>
        <v/>
      </c>
      <c r="Z70" s="77" t="str">
        <f t="shared" si="2"/>
        <v/>
      </c>
      <c r="AA70" s="77" t="str">
        <f t="shared" si="2"/>
        <v/>
      </c>
    </row>
    <row r="71" spans="1:52">
      <c r="A71" s="42"/>
      <c r="G71" s="82"/>
      <c r="H71" s="82"/>
      <c r="I71" s="82"/>
      <c r="J71" s="82"/>
      <c r="K71" s="82"/>
      <c r="L71" s="82"/>
      <c r="M71" s="82"/>
      <c r="N71" s="82"/>
      <c r="O71" s="82"/>
      <c r="P71" s="82"/>
      <c r="Q71" s="82"/>
      <c r="R71" s="77" t="str">
        <f t="shared" si="2"/>
        <v/>
      </c>
      <c r="S71" s="77" t="str">
        <f t="shared" si="2"/>
        <v/>
      </c>
      <c r="T71" s="77" t="str">
        <f t="shared" si="2"/>
        <v/>
      </c>
      <c r="U71" s="77" t="str">
        <f t="shared" si="2"/>
        <v/>
      </c>
      <c r="V71" s="77" t="str">
        <f t="shared" si="2"/>
        <v/>
      </c>
      <c r="W71" s="77" t="str">
        <f t="shared" si="2"/>
        <v/>
      </c>
      <c r="X71" s="77" t="str">
        <f t="shared" si="2"/>
        <v/>
      </c>
      <c r="Y71" s="77" t="str">
        <f t="shared" si="2"/>
        <v/>
      </c>
      <c r="Z71" s="77" t="str">
        <f t="shared" si="2"/>
        <v/>
      </c>
      <c r="AA71" s="77" t="str">
        <f t="shared" si="2"/>
        <v/>
      </c>
    </row>
    <row r="72" spans="1:52">
      <c r="A72" s="42"/>
      <c r="G72" s="82"/>
      <c r="H72" s="82"/>
      <c r="I72" s="82"/>
      <c r="J72" s="82"/>
      <c r="K72" s="82"/>
      <c r="L72" s="82"/>
      <c r="M72" s="82"/>
      <c r="N72" s="82"/>
      <c r="O72" s="82"/>
      <c r="P72" s="82"/>
      <c r="Q72" s="82"/>
      <c r="R72" s="77" t="str">
        <f t="shared" si="2"/>
        <v/>
      </c>
      <c r="S72" s="77" t="str">
        <f t="shared" si="2"/>
        <v/>
      </c>
      <c r="T72" s="77" t="str">
        <f t="shared" si="2"/>
        <v/>
      </c>
      <c r="U72" s="77" t="str">
        <f t="shared" si="2"/>
        <v/>
      </c>
      <c r="V72" s="77" t="str">
        <f t="shared" si="2"/>
        <v/>
      </c>
      <c r="W72" s="77" t="str">
        <f t="shared" si="2"/>
        <v/>
      </c>
      <c r="X72" s="77" t="str">
        <f t="shared" si="2"/>
        <v/>
      </c>
      <c r="Y72" s="77" t="str">
        <f t="shared" si="2"/>
        <v/>
      </c>
      <c r="Z72" s="77" t="str">
        <f t="shared" si="2"/>
        <v/>
      </c>
      <c r="AA72" s="77" t="str">
        <f t="shared" si="2"/>
        <v/>
      </c>
      <c r="AE72" s="127" t="s">
        <v>130</v>
      </c>
      <c r="AF72" s="127"/>
      <c r="AG72" s="127"/>
      <c r="AH72" s="127"/>
      <c r="AI72" s="127"/>
      <c r="AJ72" s="127"/>
      <c r="AK72" s="127"/>
      <c r="AL72" s="127"/>
      <c r="AM72" s="127"/>
      <c r="AN72" s="127"/>
      <c r="AP72" s="182" t="s">
        <v>131</v>
      </c>
      <c r="AQ72" s="182"/>
      <c r="AR72" s="86" t="s">
        <v>132</v>
      </c>
      <c r="AS72" s="41" t="s">
        <v>133</v>
      </c>
    </row>
    <row r="73" spans="1:52">
      <c r="A73" s="42"/>
      <c r="G73" s="82"/>
      <c r="H73" s="82"/>
      <c r="I73" s="82"/>
      <c r="J73" s="82"/>
      <c r="K73" s="82"/>
      <c r="L73" s="82"/>
      <c r="M73" s="82"/>
      <c r="N73" s="82"/>
      <c r="O73" s="82"/>
      <c r="P73" s="82"/>
      <c r="Q73" s="82"/>
      <c r="R73" s="77" t="str">
        <f t="shared" si="2"/>
        <v/>
      </c>
      <c r="S73" s="77" t="str">
        <f t="shared" si="2"/>
        <v/>
      </c>
      <c r="T73" s="77" t="str">
        <f t="shared" si="2"/>
        <v/>
      </c>
      <c r="U73" s="77" t="str">
        <f t="shared" si="2"/>
        <v/>
      </c>
      <c r="V73" s="77" t="str">
        <f t="shared" si="2"/>
        <v/>
      </c>
      <c r="W73" s="77" t="str">
        <f t="shared" si="2"/>
        <v/>
      </c>
      <c r="X73" s="77" t="str">
        <f t="shared" si="2"/>
        <v/>
      </c>
      <c r="Y73" s="77" t="str">
        <f t="shared" si="2"/>
        <v/>
      </c>
      <c r="Z73" s="77" t="str">
        <f t="shared" si="2"/>
        <v/>
      </c>
      <c r="AA73" s="77" t="str">
        <f t="shared" si="2"/>
        <v/>
      </c>
      <c r="AE73" s="79" t="s">
        <v>66</v>
      </c>
      <c r="AF73" s="79" t="s">
        <v>67</v>
      </c>
      <c r="AG73" s="79" t="s">
        <v>68</v>
      </c>
      <c r="AH73" s="79" t="s">
        <v>69</v>
      </c>
      <c r="AI73" s="79" t="s">
        <v>70</v>
      </c>
      <c r="AJ73" s="79" t="s">
        <v>71</v>
      </c>
      <c r="AK73" s="79" t="s">
        <v>72</v>
      </c>
      <c r="AL73" s="79" t="s">
        <v>73</v>
      </c>
      <c r="AM73" s="79" t="s">
        <v>74</v>
      </c>
      <c r="AN73" s="79" t="s">
        <v>75</v>
      </c>
    </row>
    <row r="74" spans="1:52">
      <c r="A74" s="42"/>
      <c r="G74" s="82"/>
      <c r="H74" s="82"/>
      <c r="I74" s="82"/>
      <c r="J74" s="82"/>
      <c r="K74" s="82"/>
      <c r="L74" s="82"/>
      <c r="M74" s="82"/>
      <c r="N74" s="82"/>
      <c r="O74" s="82"/>
      <c r="P74" s="82"/>
      <c r="Q74" s="82"/>
      <c r="R74" s="77" t="str">
        <f t="shared" si="2"/>
        <v/>
      </c>
      <c r="S74" s="77" t="str">
        <f t="shared" si="2"/>
        <v/>
      </c>
      <c r="T74" s="77" t="str">
        <f t="shared" si="2"/>
        <v/>
      </c>
      <c r="U74" s="77" t="str">
        <f t="shared" si="2"/>
        <v/>
      </c>
      <c r="V74" s="77" t="str">
        <f t="shared" si="2"/>
        <v/>
      </c>
      <c r="W74" s="77" t="str">
        <f t="shared" ref="W74:AA109" si="4">IFERROR(INDEX($AE$68:$AN$68, 1, MATCH(AJ$68, $G74:$P74, 0)), "")</f>
        <v/>
      </c>
      <c r="X74" s="77" t="str">
        <f t="shared" si="4"/>
        <v/>
      </c>
      <c r="Y74" s="77" t="str">
        <f t="shared" si="4"/>
        <v/>
      </c>
      <c r="Z74" s="77" t="str">
        <f t="shared" si="4"/>
        <v/>
      </c>
      <c r="AA74" s="77" t="str">
        <f t="shared" si="4"/>
        <v/>
      </c>
      <c r="AD74" s="85" t="s">
        <v>48</v>
      </c>
      <c r="AE74">
        <f>COUNTIF(R$9:R$110, AE$68)</f>
        <v>9</v>
      </c>
      <c r="AF74">
        <f>COUNTIF(S$9:S$110, AE$68)</f>
        <v>1</v>
      </c>
      <c r="AG74">
        <f>COUNTIF(T$9:T$110, AE$68)</f>
        <v>1</v>
      </c>
      <c r="AH74">
        <f>COUNTIF(U$9:U$110, AE$68)</f>
        <v>1</v>
      </c>
      <c r="AI74">
        <f>COUNTIF(V$9:V$110, AE$68)</f>
        <v>3</v>
      </c>
      <c r="AJ74">
        <f>COUNTIF(W$9:W$110, AE$68)</f>
        <v>1</v>
      </c>
      <c r="AK74">
        <f>COUNTIF(X$9:X$110, AE$68)</f>
        <v>1</v>
      </c>
      <c r="AL74">
        <f>COUNTIF(Y$9:Y$110, AE$68)</f>
        <v>1</v>
      </c>
      <c r="AM74">
        <f>COUNTIF(Z$9:Z$110, AE$68)</f>
        <v>3</v>
      </c>
      <c r="AN74">
        <f>COUNTIF(AA$9:AA$110, AE$68)</f>
        <v>4</v>
      </c>
      <c r="AP74" s="85" t="s">
        <v>66</v>
      </c>
      <c r="AQ74">
        <f>AE74*$AN$68+AE75*$AM$68+AE76*$AL$68+AE77*$AK$68+AE78*$AJ$68+AE79*$AI$68+AE80*$AH$68+AE81*$AG$68+AE82*$AF$68+AE83*$AE$68</f>
        <v>156</v>
      </c>
      <c r="AR74">
        <f t="shared" ref="AR74:AR82" si="5">RANK(AQ74, $AQ$74:$AQ$83, 0)</f>
        <v>2</v>
      </c>
      <c r="AS74">
        <f>RANK(AQ74, $AQ$74:$AQ$83, 0) + COUNTIF($AQ$74:AQ74, AQ74) - 1</f>
        <v>2</v>
      </c>
    </row>
    <row r="75" spans="1:52">
      <c r="A75" s="42"/>
      <c r="G75" s="82"/>
      <c r="H75" s="82"/>
      <c r="I75" s="82"/>
      <c r="J75" s="82"/>
      <c r="K75" s="82"/>
      <c r="L75" s="82"/>
      <c r="M75" s="82"/>
      <c r="N75" s="82"/>
      <c r="O75" s="82"/>
      <c r="P75" s="82"/>
      <c r="Q75" s="82"/>
      <c r="R75" s="77" t="str">
        <f t="shared" ref="R75:V109" si="6">IFERROR(INDEX($AE$68:$AN$68, 1, MATCH(AE$68, $G75:$P75, 0)), "")</f>
        <v/>
      </c>
      <c r="S75" s="77" t="str">
        <f t="shared" si="6"/>
        <v/>
      </c>
      <c r="T75" s="77" t="str">
        <f t="shared" si="6"/>
        <v/>
      </c>
      <c r="U75" s="77" t="str">
        <f t="shared" si="6"/>
        <v/>
      </c>
      <c r="V75" s="77" t="str">
        <f t="shared" si="6"/>
        <v/>
      </c>
      <c r="W75" s="77" t="str">
        <f t="shared" si="4"/>
        <v/>
      </c>
      <c r="X75" s="77" t="str">
        <f t="shared" si="4"/>
        <v/>
      </c>
      <c r="Y75" s="77" t="str">
        <f t="shared" si="4"/>
        <v/>
      </c>
      <c r="Z75" s="77" t="str">
        <f t="shared" si="4"/>
        <v/>
      </c>
      <c r="AA75" s="77" t="str">
        <f t="shared" si="4"/>
        <v/>
      </c>
      <c r="AD75" s="85" t="s">
        <v>49</v>
      </c>
      <c r="AE75">
        <f>COUNTIF(R$9:R$110, AF$68)</f>
        <v>2</v>
      </c>
      <c r="AF75">
        <f>COUNTIF(S$9:S$110, AF$68)</f>
        <v>8</v>
      </c>
      <c r="AG75">
        <f>COUNTIF(T$9:T$110, AF$68)</f>
        <v>2</v>
      </c>
      <c r="AH75">
        <f>COUNTIF(U$9:U$110, AF$68)</f>
        <v>1</v>
      </c>
      <c r="AI75">
        <f>COUNTIF(V$9:V$110, AF$68)</f>
        <v>2</v>
      </c>
      <c r="AJ75">
        <f>COUNTIF(W$9:W$110, AF$68)</f>
        <v>2</v>
      </c>
      <c r="AK75">
        <f>COUNTIF(X$9:X$110, AF$68)</f>
        <v>3</v>
      </c>
      <c r="AL75">
        <f>COUNTIF(Y$9:Y$110, AF$68)</f>
        <v>2</v>
      </c>
      <c r="AM75">
        <f>COUNTIF(Z$9:Z$110, AF$68)</f>
        <v>2</v>
      </c>
      <c r="AN75">
        <f>COUNTIF(AA$9:AA$110, AF$68)</f>
        <v>1</v>
      </c>
      <c r="AP75" s="85" t="s">
        <v>67</v>
      </c>
      <c r="AQ75">
        <f>AF74*$AN$68+AF75*$AM$68+AF76*$AL$68+AF77*$AK$68+AF78*$AJ$68+AF80*$AI$68+AF79*$AH$68+AF81*$AG$68+AF82*$AF$68+AF83*$AE$68</f>
        <v>145</v>
      </c>
      <c r="AR75">
        <f t="shared" si="5"/>
        <v>5</v>
      </c>
      <c r="AS75">
        <f>RANK(AQ75, $AQ$74:$AQ$83, 0) + COUNTIF($AQ$74:AQ75, AQ75) - 1</f>
        <v>5</v>
      </c>
    </row>
    <row r="76" spans="1:52">
      <c r="A76" s="42"/>
      <c r="G76" s="82"/>
      <c r="H76" s="82"/>
      <c r="I76" s="82"/>
      <c r="J76" s="82"/>
      <c r="K76" s="82"/>
      <c r="L76" s="82"/>
      <c r="M76" s="82"/>
      <c r="N76" s="82"/>
      <c r="O76" s="82"/>
      <c r="P76" s="82"/>
      <c r="Q76" s="82"/>
      <c r="R76" s="77" t="str">
        <f t="shared" si="6"/>
        <v/>
      </c>
      <c r="S76" s="77" t="str">
        <f t="shared" si="6"/>
        <v/>
      </c>
      <c r="T76" s="77" t="str">
        <f t="shared" si="6"/>
        <v/>
      </c>
      <c r="U76" s="77" t="str">
        <f t="shared" si="6"/>
        <v/>
      </c>
      <c r="V76" s="77" t="str">
        <f t="shared" si="6"/>
        <v/>
      </c>
      <c r="W76" s="77" t="str">
        <f t="shared" si="4"/>
        <v/>
      </c>
      <c r="X76" s="77" t="str">
        <f t="shared" si="4"/>
        <v/>
      </c>
      <c r="Y76" s="77" t="str">
        <f t="shared" si="4"/>
        <v/>
      </c>
      <c r="Z76" s="77" t="str">
        <f t="shared" si="4"/>
        <v/>
      </c>
      <c r="AA76" s="77" t="str">
        <f t="shared" si="4"/>
        <v/>
      </c>
      <c r="AD76" s="85" t="s">
        <v>50</v>
      </c>
      <c r="AE76">
        <f>COUNTIF(R$9:R$110, AG$68)</f>
        <v>1</v>
      </c>
      <c r="AF76">
        <f>COUNTIF(S$9:S$110, AG$68)</f>
        <v>2</v>
      </c>
      <c r="AG76">
        <f>COUNTIF(T$9:T$110, AG$68)</f>
        <v>8</v>
      </c>
      <c r="AH76">
        <f>COUNTIF(U$9:U$110, AG$68)</f>
        <v>1</v>
      </c>
      <c r="AI76">
        <f>COUNTIF(V$9:V$110, AG$68)</f>
        <v>2</v>
      </c>
      <c r="AJ76">
        <f>COUNTIF(W$9:W$110, AG$68)</f>
        <v>1</v>
      </c>
      <c r="AK76">
        <f>COUNTIF(X$9:X$110, AG$68)</f>
        <v>2</v>
      </c>
      <c r="AL76">
        <f>COUNTIF(Y$9:Y$110, AG$68)</f>
        <v>6</v>
      </c>
      <c r="AM76">
        <f>COUNTIF(Z$9:Z$110, AG$68)</f>
        <v>1</v>
      </c>
      <c r="AN76">
        <f>COUNTIF(AA$9:AA$110, AG$68)</f>
        <v>1</v>
      </c>
      <c r="AP76" s="85" t="s">
        <v>68</v>
      </c>
      <c r="AQ76">
        <f>AG74*$AN$68+AG75*$AM$68+AG76*$AL$68+AG77*$AK$68+AG78*$AJ$68+AG79*$AI$68+AG80*$AH$68+AG81*$AG$68+AG82*$AF$68+AG83*$AE$68</f>
        <v>154</v>
      </c>
      <c r="AR76">
        <f t="shared" si="5"/>
        <v>3</v>
      </c>
      <c r="AS76">
        <f>RANK(AQ76, $AQ$74:$AQ$83, 0) + COUNTIF($AQ$74:AQ76, AQ76) - 1</f>
        <v>3</v>
      </c>
    </row>
    <row r="77" spans="1:52">
      <c r="A77" s="42"/>
      <c r="G77" s="82"/>
      <c r="H77" s="82"/>
      <c r="I77" s="82"/>
      <c r="J77" s="82"/>
      <c r="K77" s="82"/>
      <c r="L77" s="82"/>
      <c r="M77" s="82"/>
      <c r="N77" s="82"/>
      <c r="O77" s="82"/>
      <c r="P77" s="82"/>
      <c r="Q77" s="82"/>
      <c r="R77" s="77" t="str">
        <f t="shared" si="6"/>
        <v/>
      </c>
      <c r="S77" s="77" t="str">
        <f t="shared" si="6"/>
        <v/>
      </c>
      <c r="T77" s="77" t="str">
        <f t="shared" si="6"/>
        <v/>
      </c>
      <c r="U77" s="77" t="str">
        <f t="shared" si="6"/>
        <v/>
      </c>
      <c r="V77" s="77" t="str">
        <f t="shared" si="6"/>
        <v/>
      </c>
      <c r="W77" s="77" t="str">
        <f t="shared" si="4"/>
        <v/>
      </c>
      <c r="X77" s="77" t="str">
        <f t="shared" si="4"/>
        <v/>
      </c>
      <c r="Y77" s="77" t="str">
        <f t="shared" si="4"/>
        <v/>
      </c>
      <c r="Z77" s="77" t="str">
        <f t="shared" si="4"/>
        <v/>
      </c>
      <c r="AA77" s="77" t="str">
        <f t="shared" si="4"/>
        <v/>
      </c>
      <c r="AD77" s="85" t="s">
        <v>51</v>
      </c>
      <c r="AE77">
        <f>COUNTIF(R$9:R$110, AH$68)</f>
        <v>1</v>
      </c>
      <c r="AF77">
        <f>COUNTIF(S$9:S$110, AH$68)</f>
        <v>1</v>
      </c>
      <c r="AG77">
        <f>COUNTIF(T$9:T$110, AH$68)</f>
        <v>2</v>
      </c>
      <c r="AH77">
        <f>COUNTIF(U$9:U$110, AH$68)</f>
        <v>10</v>
      </c>
      <c r="AI77">
        <f>COUNTIF(V$9:V$110, AH$68)</f>
        <v>3</v>
      </c>
      <c r="AJ77">
        <f>COUNTIF(W$9:W$110, AH$68)</f>
        <v>1</v>
      </c>
      <c r="AK77">
        <f>COUNTIF(X$9:X$110, AH$68)</f>
        <v>4</v>
      </c>
      <c r="AL77">
        <f>COUNTIF(Y$9:Y$110, AH$68)</f>
        <v>1</v>
      </c>
      <c r="AM77">
        <f>COUNTIF(Z$9:Z$110, AH$68)</f>
        <v>1</v>
      </c>
      <c r="AN77">
        <f>COUNTIF(AA$9:AA$110, AH$68)</f>
        <v>1</v>
      </c>
      <c r="AP77" s="85" t="s">
        <v>69</v>
      </c>
      <c r="AQ77">
        <f>AH74*$AN$68+AH75*$AM$68+AH76*$AL$68+AH77*$AK$68+AH78*$AJ$68+AH79*$AI$68+AH80*$AH$68+AH81*$AG$68+AH82*$AF$68+AH83*$AE$68</f>
        <v>147</v>
      </c>
      <c r="AR77">
        <f t="shared" si="5"/>
        <v>4</v>
      </c>
      <c r="AS77">
        <f>RANK(AQ77, $AQ$74:$AQ$83, 0) + COUNTIF($AQ$74:AQ77, AQ77) - 1</f>
        <v>4</v>
      </c>
    </row>
    <row r="78" spans="1:52">
      <c r="A78" s="42"/>
      <c r="G78" s="82"/>
      <c r="H78" s="82"/>
      <c r="I78" s="82"/>
      <c r="J78" s="82"/>
      <c r="K78" s="82"/>
      <c r="L78" s="82"/>
      <c r="M78" s="82"/>
      <c r="N78" s="82"/>
      <c r="O78" s="82"/>
      <c r="P78" s="82"/>
      <c r="Q78" s="82"/>
      <c r="R78" s="77" t="str">
        <f t="shared" si="6"/>
        <v/>
      </c>
      <c r="S78" s="77" t="str">
        <f t="shared" si="6"/>
        <v/>
      </c>
      <c r="T78" s="77" t="str">
        <f t="shared" si="6"/>
        <v/>
      </c>
      <c r="U78" s="77" t="str">
        <f t="shared" si="6"/>
        <v/>
      </c>
      <c r="V78" s="77" t="str">
        <f t="shared" si="6"/>
        <v/>
      </c>
      <c r="W78" s="77" t="str">
        <f t="shared" si="4"/>
        <v/>
      </c>
      <c r="X78" s="77" t="str">
        <f t="shared" si="4"/>
        <v/>
      </c>
      <c r="Y78" s="77" t="str">
        <f t="shared" si="4"/>
        <v/>
      </c>
      <c r="Z78" s="77" t="str">
        <f t="shared" si="4"/>
        <v/>
      </c>
      <c r="AA78" s="77" t="str">
        <f t="shared" si="4"/>
        <v/>
      </c>
      <c r="AD78" s="85" t="s">
        <v>52</v>
      </c>
      <c r="AE78">
        <f>COUNTIF(R$9:R$110, AI$68)</f>
        <v>1</v>
      </c>
      <c r="AF78">
        <f>COUNTIF(S$9:S$110, AI$68)</f>
        <v>1</v>
      </c>
      <c r="AG78">
        <f>COUNTIF(T$9:T$110, AI$68)</f>
        <v>3</v>
      </c>
      <c r="AH78">
        <f>COUNTIF(U$9:U$110, AI$68)</f>
        <v>3</v>
      </c>
      <c r="AI78">
        <f>COUNTIF(V$9:V$110, AI$68)</f>
        <v>7</v>
      </c>
      <c r="AJ78">
        <f>COUNTIF(W$9:W$110, AI$68)</f>
        <v>6</v>
      </c>
      <c r="AK78">
        <f>COUNTIF(X$9:X$110, AI$68)</f>
        <v>1</v>
      </c>
      <c r="AL78">
        <f>COUNTIF(Y$9:Y$110, AI$68)</f>
        <v>1</v>
      </c>
      <c r="AM78">
        <f>COUNTIF(Z$9:Z$110, AI$68)</f>
        <v>1</v>
      </c>
      <c r="AN78">
        <f>COUNTIF(AA$9:AA$110, AI$68)</f>
        <v>1</v>
      </c>
      <c r="AP78" s="85" t="s">
        <v>70</v>
      </c>
      <c r="AQ78">
        <f>AI74*$AN$68+AI75*$AM$68+AI76*$AL$68+AI77*$AK$68+AI78*$AJ$68+AI79*$AI$68+AI80*$AH$68+AI81*$AG$68+AI82*$AF$68+AI83*$AE$68</f>
        <v>157</v>
      </c>
      <c r="AR78">
        <f t="shared" si="5"/>
        <v>1</v>
      </c>
      <c r="AS78">
        <f>RANK(AQ78, $AQ$74:$AQ$83, 0) + COUNTIF($AQ$74:AQ78, AQ78) - 1</f>
        <v>1</v>
      </c>
    </row>
    <row r="79" spans="1:52">
      <c r="A79" s="42"/>
      <c r="G79" s="82"/>
      <c r="H79" s="82"/>
      <c r="I79" s="82"/>
      <c r="J79" s="82"/>
      <c r="K79" s="82"/>
      <c r="L79" s="82"/>
      <c r="M79" s="82"/>
      <c r="N79" s="82"/>
      <c r="O79" s="82"/>
      <c r="P79" s="82"/>
      <c r="Q79" s="82"/>
      <c r="R79" s="77" t="str">
        <f t="shared" si="6"/>
        <v/>
      </c>
      <c r="S79" s="77" t="str">
        <f t="shared" si="6"/>
        <v/>
      </c>
      <c r="T79" s="77" t="str">
        <f t="shared" si="6"/>
        <v/>
      </c>
      <c r="U79" s="77" t="str">
        <f t="shared" si="6"/>
        <v/>
      </c>
      <c r="V79" s="77" t="str">
        <f t="shared" si="6"/>
        <v/>
      </c>
      <c r="W79" s="77" t="str">
        <f t="shared" si="4"/>
        <v/>
      </c>
      <c r="X79" s="77" t="str">
        <f t="shared" si="4"/>
        <v/>
      </c>
      <c r="Y79" s="77" t="str">
        <f t="shared" si="4"/>
        <v/>
      </c>
      <c r="Z79" s="77" t="str">
        <f t="shared" si="4"/>
        <v/>
      </c>
      <c r="AA79" s="77" t="str">
        <f t="shared" si="4"/>
        <v/>
      </c>
      <c r="AD79" s="85" t="s">
        <v>53</v>
      </c>
      <c r="AE79">
        <f>COUNTIF(R$9:R$110, AJ$68)</f>
        <v>1</v>
      </c>
      <c r="AF79">
        <f>COUNTIF(S$9:S$110, AJ$68)</f>
        <v>2</v>
      </c>
      <c r="AG79">
        <f>COUNTIF(T$9:T$110, AJ$68)</f>
        <v>1</v>
      </c>
      <c r="AH79">
        <f>COUNTIF(U$9:U$110, AJ$68)</f>
        <v>3</v>
      </c>
      <c r="AI79">
        <f>COUNTIF(V$9:V$110, AJ$68)</f>
        <v>4</v>
      </c>
      <c r="AJ79">
        <f>COUNTIF(W$9:W$110, AJ$68)</f>
        <v>8</v>
      </c>
      <c r="AK79">
        <f>COUNTIF(X$9:X$110, AJ$68)</f>
        <v>2</v>
      </c>
      <c r="AL79">
        <f>COUNTIF(Y$9:Y$110, AJ$68)</f>
        <v>1</v>
      </c>
      <c r="AM79">
        <f>COUNTIF(Z$9:Z$110, AJ$68)</f>
        <v>1</v>
      </c>
      <c r="AN79">
        <f>COUNTIF(AA$9:AA$110, AJ$68)</f>
        <v>2</v>
      </c>
      <c r="AP79" s="85" t="s">
        <v>71</v>
      </c>
      <c r="AQ79">
        <f>AJ74*$AN$68+AJ75*$AM$68+AJ76*$AL$68+AJ77*$AK$68+AJ78*$AJ$68+AJ79*$AI$68+AJ80*$AH$68+AJ81*$AG$68+AJ82*$AF$68+AJ83*$AE$68</f>
        <v>136</v>
      </c>
      <c r="AR79">
        <f t="shared" si="5"/>
        <v>6</v>
      </c>
      <c r="AS79">
        <f>RANK(AQ79, $AQ$74:$AQ$83, 0) + COUNTIF($AQ$74:AQ79, AQ79) - 1</f>
        <v>6</v>
      </c>
    </row>
    <row r="80" spans="1:52">
      <c r="A80" s="42"/>
      <c r="G80" s="82"/>
      <c r="H80" s="82"/>
      <c r="I80" s="82"/>
      <c r="J80" s="82"/>
      <c r="K80" s="82"/>
      <c r="L80" s="82"/>
      <c r="M80" s="82"/>
      <c r="N80" s="82"/>
      <c r="O80" s="82"/>
      <c r="P80" s="82"/>
      <c r="Q80" s="82"/>
      <c r="R80" s="77" t="str">
        <f t="shared" si="6"/>
        <v/>
      </c>
      <c r="S80" s="77" t="str">
        <f t="shared" si="6"/>
        <v/>
      </c>
      <c r="T80" s="77" t="str">
        <f t="shared" si="6"/>
        <v/>
      </c>
      <c r="U80" s="77" t="str">
        <f t="shared" si="6"/>
        <v/>
      </c>
      <c r="V80" s="77" t="str">
        <f t="shared" si="6"/>
        <v/>
      </c>
      <c r="W80" s="77" t="str">
        <f t="shared" si="4"/>
        <v/>
      </c>
      <c r="X80" s="77" t="str">
        <f t="shared" si="4"/>
        <v/>
      </c>
      <c r="Y80" s="77" t="str">
        <f t="shared" si="4"/>
        <v/>
      </c>
      <c r="Z80" s="77" t="str">
        <f t="shared" si="4"/>
        <v/>
      </c>
      <c r="AA80" s="77" t="str">
        <f t="shared" si="4"/>
        <v/>
      </c>
      <c r="AD80" s="85" t="s">
        <v>54</v>
      </c>
      <c r="AE80">
        <f>COUNTIF(R$9:R$110, AK$68)</f>
        <v>2</v>
      </c>
      <c r="AF80">
        <f>COUNTIF(S$9:S$110, AK$68)</f>
        <v>1</v>
      </c>
      <c r="AG80">
        <f>COUNTIF(T$9:T$110, AK$68)</f>
        <v>4</v>
      </c>
      <c r="AH80">
        <f>COUNTIF(U$9:U$110, AK$68)</f>
        <v>2</v>
      </c>
      <c r="AI80">
        <f>COUNTIF(V$9:V$110, AK$68)</f>
        <v>1</v>
      </c>
      <c r="AJ80">
        <f>COUNTIF(W$9:W$110, AK$68)</f>
        <v>2</v>
      </c>
      <c r="AK80">
        <f>COUNTIF(X$9:X$110, AK$68)</f>
        <v>5</v>
      </c>
      <c r="AL80">
        <f>COUNTIF(Y$9:Y$110, AK$68)</f>
        <v>1</v>
      </c>
      <c r="AM80">
        <f>COUNTIF(Z$9:Z$110, AK$68)</f>
        <v>6</v>
      </c>
      <c r="AN80">
        <f>COUNTIF(AA$9:AA$110, AK$68)</f>
        <v>1</v>
      </c>
      <c r="AP80" s="85" t="s">
        <v>72</v>
      </c>
      <c r="AQ80">
        <f>AK74*$AN$68+AK75*$AM$68+AK76*$AL$68+AK77*$AK$68+AK78*$AJ$68+AK79*$AI$68+AK80*$AH$68+AK81*$AG$68+AK82*$AF$68+AK83*$AE$68</f>
        <v>132</v>
      </c>
      <c r="AR80">
        <f t="shared" si="5"/>
        <v>7</v>
      </c>
      <c r="AS80">
        <f>RANK(AQ80, $AQ$74:$AQ$83, 0) + COUNTIF($AQ$74:AQ80, AQ80) - 1</f>
        <v>7</v>
      </c>
    </row>
    <row r="81" spans="1:45">
      <c r="A81" s="42"/>
      <c r="G81" s="82"/>
      <c r="H81" s="82"/>
      <c r="I81" s="82"/>
      <c r="J81" s="82"/>
      <c r="K81" s="82"/>
      <c r="L81" s="82"/>
      <c r="M81" s="82"/>
      <c r="N81" s="82"/>
      <c r="O81" s="82"/>
      <c r="P81" s="82"/>
      <c r="Q81" s="82"/>
      <c r="R81" s="77" t="str">
        <f t="shared" si="6"/>
        <v/>
      </c>
      <c r="S81" s="77" t="str">
        <f t="shared" si="6"/>
        <v/>
      </c>
      <c r="T81" s="77" t="str">
        <f t="shared" si="6"/>
        <v/>
      </c>
      <c r="U81" s="77" t="str">
        <f t="shared" si="6"/>
        <v/>
      </c>
      <c r="V81" s="77" t="str">
        <f t="shared" si="6"/>
        <v/>
      </c>
      <c r="W81" s="77" t="str">
        <f t="shared" si="4"/>
        <v/>
      </c>
      <c r="X81" s="77" t="str">
        <f t="shared" si="4"/>
        <v/>
      </c>
      <c r="Y81" s="77" t="str">
        <f t="shared" si="4"/>
        <v/>
      </c>
      <c r="Z81" s="77" t="str">
        <f t="shared" si="4"/>
        <v/>
      </c>
      <c r="AA81" s="77" t="str">
        <f t="shared" si="4"/>
        <v/>
      </c>
      <c r="AD81" s="85" t="s">
        <v>55</v>
      </c>
      <c r="AE81">
        <f>COUNTIF(R$9:R$110, AL$68)</f>
        <v>1</v>
      </c>
      <c r="AF81">
        <f>COUNTIF(S$9:S$110, AL$68)</f>
        <v>5</v>
      </c>
      <c r="AG81">
        <f>COUNTIF(T$9:T$110, AL$68)</f>
        <v>2</v>
      </c>
      <c r="AH81">
        <f>COUNTIF(U$9:U$110, AL$68)</f>
        <v>2</v>
      </c>
      <c r="AI81">
        <f>COUNTIF(V$9:V$110, AL$68)</f>
        <v>1</v>
      </c>
      <c r="AJ81">
        <f>COUNTIF(W$9:W$110, AL$68)</f>
        <v>2</v>
      </c>
      <c r="AK81">
        <f>COUNTIF(X$9:X$110, AL$68)</f>
        <v>3</v>
      </c>
      <c r="AL81">
        <f>COUNTIF(Y$9:Y$110, AL$68)</f>
        <v>7</v>
      </c>
      <c r="AM81">
        <f>COUNTIF(Z$9:Z$110, AL$68)</f>
        <v>1</v>
      </c>
      <c r="AN81">
        <f>COUNTIF(AA$9:AA$110, AL$68)</f>
        <v>1</v>
      </c>
      <c r="AP81" s="85" t="s">
        <v>73</v>
      </c>
      <c r="AQ81">
        <f>AL74*$AN$68+AL75*$AM$68+AL76*$AL$68+AL77*$AK$68+AL78*$AJ$68+AL79*$AI$68+AL80*$AH$68+AL81*$AG$68+AL82*$AF$68+AL83*$AE$68</f>
        <v>128</v>
      </c>
      <c r="AR81">
        <f t="shared" si="5"/>
        <v>8</v>
      </c>
      <c r="AS81">
        <f>RANK(AQ81, $AQ$74:$AQ$83, 0) + COUNTIF($AQ$74:AQ81, AQ81) - 1</f>
        <v>8</v>
      </c>
    </row>
    <row r="82" spans="1:45">
      <c r="A82" s="42"/>
      <c r="G82" s="82"/>
      <c r="H82" s="82"/>
      <c r="I82" s="82"/>
      <c r="J82" s="82"/>
      <c r="K82" s="82"/>
      <c r="L82" s="82"/>
      <c r="M82" s="82"/>
      <c r="N82" s="82"/>
      <c r="O82" s="82"/>
      <c r="P82" s="82"/>
      <c r="Q82" s="82"/>
      <c r="R82" s="77" t="str">
        <f t="shared" si="6"/>
        <v/>
      </c>
      <c r="S82" s="77" t="str">
        <f t="shared" si="6"/>
        <v/>
      </c>
      <c r="T82" s="77" t="str">
        <f t="shared" si="6"/>
        <v/>
      </c>
      <c r="U82" s="77" t="str">
        <f t="shared" si="6"/>
        <v/>
      </c>
      <c r="V82" s="77" t="str">
        <f t="shared" si="6"/>
        <v/>
      </c>
      <c r="W82" s="77" t="str">
        <f t="shared" si="4"/>
        <v/>
      </c>
      <c r="X82" s="77" t="str">
        <f t="shared" si="4"/>
        <v/>
      </c>
      <c r="Y82" s="77" t="str">
        <f t="shared" si="4"/>
        <v/>
      </c>
      <c r="Z82" s="77" t="str">
        <f t="shared" si="4"/>
        <v/>
      </c>
      <c r="AA82" s="77" t="str">
        <f t="shared" si="4"/>
        <v/>
      </c>
      <c r="AD82" s="85" t="s">
        <v>56</v>
      </c>
      <c r="AE82">
        <f>COUNTIF(R$9:R$110, AM$68)</f>
        <v>4</v>
      </c>
      <c r="AF82">
        <f>COUNTIF(S$9:S$110, AM$68)</f>
        <v>2</v>
      </c>
      <c r="AG82">
        <f>COUNTIF(T$9:T$110, AM$68)</f>
        <v>1</v>
      </c>
      <c r="AH82">
        <f>COUNTIF(U$9:U$110, AM$68)</f>
        <v>1</v>
      </c>
      <c r="AI82">
        <f>COUNTIF(V$9:V$110, AM$68)</f>
        <v>1</v>
      </c>
      <c r="AJ82">
        <f>COUNTIF(W$9:W$110, AM$68)</f>
        <v>1</v>
      </c>
      <c r="AK82">
        <f>COUNTIF(X$9:X$110, AM$68)</f>
        <v>2</v>
      </c>
      <c r="AL82">
        <f>COUNTIF(Y$9:Y$110, AM$68)</f>
        <v>4</v>
      </c>
      <c r="AM82">
        <f>COUNTIF(Z$9:Z$110, AM$68)</f>
        <v>6</v>
      </c>
      <c r="AN82">
        <f>COUNTIF(AA$9:AA$110, AM$68)</f>
        <v>3</v>
      </c>
      <c r="AP82" s="85" t="s">
        <v>74</v>
      </c>
      <c r="AQ82">
        <f>AM74*$AN$68+AM75*$AM$68+AM76*$AL$68+AM77*$AK$68+AM78*$AJ$68+AM79*$AI$68+AM80*$AH$68+AM81*$AG$68+AM82*$AF$68+AM83*$AE$68</f>
        <v>116</v>
      </c>
      <c r="AR82">
        <f t="shared" si="5"/>
        <v>9</v>
      </c>
      <c r="AS82">
        <f>RANK(AQ82, $AQ$74:$AQ$83, 0) + COUNTIF($AQ$74:AQ82, AQ82) - 1</f>
        <v>9</v>
      </c>
    </row>
    <row r="83" spans="1:45">
      <c r="A83" s="42"/>
      <c r="G83" s="82"/>
      <c r="H83" s="82"/>
      <c r="I83" s="82"/>
      <c r="J83" s="82"/>
      <c r="K83" s="82"/>
      <c r="L83" s="82"/>
      <c r="M83" s="82"/>
      <c r="N83" s="82"/>
      <c r="O83" s="82"/>
      <c r="P83" s="82"/>
      <c r="Q83" s="82"/>
      <c r="R83" s="77" t="str">
        <f t="shared" si="6"/>
        <v/>
      </c>
      <c r="S83" s="77" t="str">
        <f t="shared" si="6"/>
        <v/>
      </c>
      <c r="T83" s="77" t="str">
        <f t="shared" si="6"/>
        <v/>
      </c>
      <c r="U83" s="77" t="str">
        <f t="shared" si="6"/>
        <v/>
      </c>
      <c r="V83" s="77" t="str">
        <f t="shared" si="6"/>
        <v/>
      </c>
      <c r="W83" s="77" t="str">
        <f t="shared" si="4"/>
        <v/>
      </c>
      <c r="X83" s="77" t="str">
        <f t="shared" si="4"/>
        <v/>
      </c>
      <c r="Y83" s="77" t="str">
        <f t="shared" si="4"/>
        <v/>
      </c>
      <c r="Z83" s="77" t="str">
        <f t="shared" si="4"/>
        <v/>
      </c>
      <c r="AA83" s="77" t="str">
        <f t="shared" si="4"/>
        <v/>
      </c>
      <c r="AD83" s="85" t="s">
        <v>57</v>
      </c>
      <c r="AE83">
        <f>COUNTIF(R$9:R$110, AN$68)</f>
        <v>3</v>
      </c>
      <c r="AF83">
        <f>COUNTIF(S$9:S$110, AN$68)</f>
        <v>2</v>
      </c>
      <c r="AG83">
        <f>COUNTIF(T$9:T$110, AN$68)</f>
        <v>1</v>
      </c>
      <c r="AH83">
        <f>COUNTIF(U$9:U$110, AN$68)</f>
        <v>1</v>
      </c>
      <c r="AI83">
        <f>COUNTIF(V$9:V$110, AN$68)</f>
        <v>1</v>
      </c>
      <c r="AJ83">
        <f>COUNTIF(W$9:W$110, AN$68)</f>
        <v>1</v>
      </c>
      <c r="AK83">
        <f>COUNTIF(X$9:X$110, AN$68)</f>
        <v>2</v>
      </c>
      <c r="AL83">
        <f>COUNTIF(Y$9:Y$110, AN$68)</f>
        <v>1</v>
      </c>
      <c r="AM83">
        <f>COUNTIF(Z$9:Z$110, AN$68)</f>
        <v>3</v>
      </c>
      <c r="AN83">
        <f>COUNTIF(AA$9:AA$110, AN$68)</f>
        <v>10</v>
      </c>
      <c r="AP83" s="85" t="s">
        <v>75</v>
      </c>
      <c r="AQ83">
        <f>AN74*$AN$68+AN75*$AM$68+AN76*$AL$68+AN77*$AK$68+AN78*$AJ$68+AN79*$AI$68+AN80*$AH$68+AN81*$AG$68+AN82*$AF$68+AN83*$AE$68</f>
        <v>103</v>
      </c>
      <c r="AR83">
        <f>RANK(AQ83, $AQ$74:$AQ$83, 0)</f>
        <v>10</v>
      </c>
      <c r="AS83">
        <f>RANK(AQ83, $AQ$74:$AQ$83, 0) + COUNTIF($AQ$74:AQ83, AQ83) - 1</f>
        <v>10</v>
      </c>
    </row>
    <row r="84" spans="1:45">
      <c r="A84" s="42"/>
      <c r="G84" s="82"/>
      <c r="H84" s="82"/>
      <c r="I84" s="82"/>
      <c r="J84" s="82"/>
      <c r="K84" s="82"/>
      <c r="L84" s="82"/>
      <c r="M84" s="82"/>
      <c r="N84" s="82"/>
      <c r="O84" s="82"/>
      <c r="P84" s="82"/>
      <c r="Q84" s="82"/>
      <c r="R84" s="77" t="str">
        <f t="shared" si="6"/>
        <v/>
      </c>
      <c r="S84" s="77" t="str">
        <f t="shared" si="6"/>
        <v/>
      </c>
      <c r="T84" s="77" t="str">
        <f t="shared" si="6"/>
        <v/>
      </c>
      <c r="U84" s="77" t="str">
        <f t="shared" si="6"/>
        <v/>
      </c>
      <c r="V84" s="77" t="str">
        <f t="shared" si="6"/>
        <v/>
      </c>
      <c r="W84" s="77" t="str">
        <f t="shared" si="4"/>
        <v/>
      </c>
      <c r="X84" s="77" t="str">
        <f t="shared" si="4"/>
        <v/>
      </c>
      <c r="Y84" s="77" t="str">
        <f t="shared" si="4"/>
        <v/>
      </c>
      <c r="Z84" s="77" t="str">
        <f t="shared" si="4"/>
        <v/>
      </c>
      <c r="AA84" s="77" t="str">
        <f t="shared" si="4"/>
        <v/>
      </c>
      <c r="AE84">
        <f>SUM(AE74:AE83)</f>
        <v>25</v>
      </c>
      <c r="AF84">
        <f t="shared" ref="AF84:AN84" si="7">SUM(AF74:AF83)</f>
        <v>25</v>
      </c>
      <c r="AG84">
        <f t="shared" si="7"/>
        <v>25</v>
      </c>
      <c r="AH84">
        <f t="shared" si="7"/>
        <v>25</v>
      </c>
      <c r="AI84">
        <f t="shared" si="7"/>
        <v>25</v>
      </c>
      <c r="AJ84">
        <f t="shared" si="7"/>
        <v>25</v>
      </c>
      <c r="AK84">
        <f t="shared" si="7"/>
        <v>25</v>
      </c>
      <c r="AL84">
        <f t="shared" si="7"/>
        <v>25</v>
      </c>
      <c r="AM84">
        <f t="shared" si="7"/>
        <v>25</v>
      </c>
      <c r="AN84">
        <f t="shared" si="7"/>
        <v>25</v>
      </c>
      <c r="AR84">
        <f>SUM(AR74:AR83)</f>
        <v>55</v>
      </c>
      <c r="AS84">
        <f>SUM(AS74:AS83)</f>
        <v>55</v>
      </c>
    </row>
    <row r="85" spans="1:45">
      <c r="A85" s="42"/>
      <c r="G85" s="82"/>
      <c r="H85" s="82"/>
      <c r="I85" s="82"/>
      <c r="J85" s="82"/>
      <c r="K85" s="82"/>
      <c r="L85" s="82"/>
      <c r="M85" s="82"/>
      <c r="N85" s="82"/>
      <c r="O85" s="82"/>
      <c r="P85" s="82"/>
      <c r="Q85" s="82"/>
      <c r="R85" s="77" t="str">
        <f t="shared" si="6"/>
        <v/>
      </c>
      <c r="S85" s="77" t="str">
        <f t="shared" si="6"/>
        <v/>
      </c>
      <c r="T85" s="77" t="str">
        <f t="shared" si="6"/>
        <v/>
      </c>
      <c r="U85" s="77" t="str">
        <f t="shared" si="6"/>
        <v/>
      </c>
      <c r="V85" s="77" t="str">
        <f t="shared" si="6"/>
        <v/>
      </c>
      <c r="W85" s="77" t="str">
        <f t="shared" si="4"/>
        <v/>
      </c>
      <c r="X85" s="77" t="str">
        <f t="shared" si="4"/>
        <v/>
      </c>
      <c r="Y85" s="77" t="str">
        <f t="shared" si="4"/>
        <v/>
      </c>
      <c r="Z85" s="77" t="str">
        <f t="shared" si="4"/>
        <v/>
      </c>
      <c r="AA85" s="77" t="str">
        <f t="shared" si="4"/>
        <v/>
      </c>
    </row>
    <row r="86" spans="1:45">
      <c r="A86" s="42"/>
      <c r="G86" s="82"/>
      <c r="H86" s="82"/>
      <c r="I86" s="82"/>
      <c r="J86" s="82"/>
      <c r="K86" s="82"/>
      <c r="L86" s="82"/>
      <c r="M86" s="82"/>
      <c r="N86" s="82"/>
      <c r="O86" s="82"/>
      <c r="P86" s="82"/>
      <c r="Q86" s="82"/>
      <c r="R86" s="77" t="str">
        <f t="shared" si="6"/>
        <v/>
      </c>
      <c r="S86" s="77" t="str">
        <f t="shared" si="6"/>
        <v/>
      </c>
      <c r="T86" s="77" t="str">
        <f t="shared" si="6"/>
        <v/>
      </c>
      <c r="U86" s="77" t="str">
        <f t="shared" si="6"/>
        <v/>
      </c>
      <c r="V86" s="77" t="str">
        <f t="shared" si="6"/>
        <v/>
      </c>
      <c r="W86" s="77" t="str">
        <f t="shared" si="4"/>
        <v/>
      </c>
      <c r="X86" s="77" t="str">
        <f t="shared" si="4"/>
        <v/>
      </c>
      <c r="Y86" s="77" t="str">
        <f t="shared" si="4"/>
        <v/>
      </c>
      <c r="Z86" s="77" t="str">
        <f t="shared" si="4"/>
        <v/>
      </c>
      <c r="AA86" s="77" t="str">
        <f t="shared" si="4"/>
        <v/>
      </c>
      <c r="AE86" s="127" t="s">
        <v>134</v>
      </c>
      <c r="AF86" s="127"/>
      <c r="AG86" s="127"/>
    </row>
    <row r="87" spans="1:45">
      <c r="A87" s="42"/>
      <c r="G87" s="82"/>
      <c r="H87" s="82"/>
      <c r="I87" s="82"/>
      <c r="J87" s="82"/>
      <c r="K87" s="82"/>
      <c r="L87" s="82"/>
      <c r="M87" s="82"/>
      <c r="N87" s="82"/>
      <c r="O87" s="82"/>
      <c r="P87" s="82"/>
      <c r="Q87" s="82"/>
      <c r="R87" s="77" t="str">
        <f t="shared" si="6"/>
        <v/>
      </c>
      <c r="S87" s="77" t="str">
        <f t="shared" si="6"/>
        <v/>
      </c>
      <c r="T87" s="77" t="str">
        <f t="shared" si="6"/>
        <v/>
      </c>
      <c r="U87" s="77" t="str">
        <f t="shared" si="6"/>
        <v/>
      </c>
      <c r="V87" s="77" t="str">
        <f t="shared" si="6"/>
        <v/>
      </c>
      <c r="W87" s="77" t="str">
        <f t="shared" si="4"/>
        <v/>
      </c>
      <c r="X87" s="77" t="str">
        <f t="shared" si="4"/>
        <v/>
      </c>
      <c r="Y87" s="77" t="str">
        <f t="shared" si="4"/>
        <v/>
      </c>
      <c r="Z87" s="77" t="str">
        <f t="shared" si="4"/>
        <v/>
      </c>
      <c r="AA87" s="77" t="str">
        <f t="shared" si="4"/>
        <v/>
      </c>
      <c r="AE87" s="52" t="s">
        <v>135</v>
      </c>
      <c r="AF87" s="52" t="s">
        <v>136</v>
      </c>
      <c r="AG87" s="52" t="s">
        <v>137</v>
      </c>
    </row>
    <row r="88" spans="1:45">
      <c r="A88" s="42"/>
      <c r="G88" s="82"/>
      <c r="H88" s="82"/>
      <c r="I88" s="82"/>
      <c r="J88" s="82"/>
      <c r="K88" s="82"/>
      <c r="L88" s="82"/>
      <c r="M88" s="82"/>
      <c r="N88" s="82"/>
      <c r="O88" s="82"/>
      <c r="P88" s="82"/>
      <c r="Q88" s="82"/>
      <c r="R88" s="77" t="str">
        <f t="shared" si="6"/>
        <v/>
      </c>
      <c r="S88" s="77" t="str">
        <f t="shared" si="6"/>
        <v/>
      </c>
      <c r="T88" s="77" t="str">
        <f t="shared" si="6"/>
        <v/>
      </c>
      <c r="U88" s="77" t="str">
        <f t="shared" si="6"/>
        <v/>
      </c>
      <c r="V88" s="77" t="str">
        <f t="shared" si="6"/>
        <v/>
      </c>
      <c r="W88" s="77" t="str">
        <f t="shared" si="4"/>
        <v/>
      </c>
      <c r="X88" s="77" t="str">
        <f t="shared" si="4"/>
        <v/>
      </c>
      <c r="Y88" s="77" t="str">
        <f t="shared" si="4"/>
        <v/>
      </c>
      <c r="Z88" s="77" t="str">
        <f t="shared" si="4"/>
        <v/>
      </c>
      <c r="AA88" s="77" t="str">
        <f t="shared" si="4"/>
        <v/>
      </c>
      <c r="AE88">
        <f>AS65/AU65</f>
        <v>5.6872727272727276E-2</v>
      </c>
      <c r="AF88">
        <f>ROUND(AE88, 2)</f>
        <v>0.06</v>
      </c>
      <c r="AG88">
        <f>AF88*100</f>
        <v>6</v>
      </c>
    </row>
    <row r="89" spans="1:45">
      <c r="A89" s="42"/>
      <c r="G89" s="82"/>
      <c r="H89" s="82"/>
      <c r="I89" s="82"/>
      <c r="J89" s="82"/>
      <c r="K89" s="82"/>
      <c r="L89" s="82"/>
      <c r="M89" s="82"/>
      <c r="N89" s="82"/>
      <c r="O89" s="82"/>
      <c r="P89" s="82"/>
      <c r="Q89" s="82"/>
      <c r="R89" s="77" t="str">
        <f t="shared" si="6"/>
        <v/>
      </c>
      <c r="S89" s="77" t="str">
        <f t="shared" si="6"/>
        <v/>
      </c>
      <c r="T89" s="77" t="str">
        <f t="shared" si="6"/>
        <v/>
      </c>
      <c r="U89" s="77" t="str">
        <f t="shared" si="6"/>
        <v/>
      </c>
      <c r="V89" s="77" t="str">
        <f t="shared" si="6"/>
        <v/>
      </c>
      <c r="W89" s="77" t="str">
        <f t="shared" si="4"/>
        <v/>
      </c>
      <c r="X89" s="77" t="str">
        <f t="shared" si="4"/>
        <v/>
      </c>
      <c r="Y89" s="77" t="str">
        <f t="shared" si="4"/>
        <v/>
      </c>
      <c r="Z89" s="77" t="str">
        <f t="shared" si="4"/>
        <v/>
      </c>
      <c r="AA89" s="77" t="str">
        <f t="shared" si="4"/>
        <v/>
      </c>
    </row>
    <row r="90" spans="1:45">
      <c r="A90" s="42"/>
      <c r="G90" s="82"/>
      <c r="H90" s="82"/>
      <c r="I90" s="82"/>
      <c r="J90" s="82"/>
      <c r="K90" s="82"/>
      <c r="L90" s="82"/>
      <c r="M90" s="82"/>
      <c r="N90" s="82"/>
      <c r="O90" s="82"/>
      <c r="P90" s="82"/>
      <c r="Q90" s="82"/>
      <c r="R90" s="77" t="str">
        <f t="shared" si="6"/>
        <v/>
      </c>
      <c r="S90" s="77" t="str">
        <f t="shared" si="6"/>
        <v/>
      </c>
      <c r="T90" s="77" t="str">
        <f t="shared" si="6"/>
        <v/>
      </c>
      <c r="U90" s="77" t="str">
        <f t="shared" si="6"/>
        <v/>
      </c>
      <c r="V90" s="77" t="str">
        <f t="shared" si="6"/>
        <v/>
      </c>
      <c r="W90" s="77" t="str">
        <f t="shared" si="4"/>
        <v/>
      </c>
      <c r="X90" s="77" t="str">
        <f t="shared" si="4"/>
        <v/>
      </c>
      <c r="Y90" s="77" t="str">
        <f t="shared" si="4"/>
        <v/>
      </c>
      <c r="Z90" s="77" t="str">
        <f t="shared" si="4"/>
        <v/>
      </c>
      <c r="AA90" s="77" t="str">
        <f t="shared" si="4"/>
        <v/>
      </c>
      <c r="AE90" s="127" t="s">
        <v>138</v>
      </c>
      <c r="AF90" s="179"/>
      <c r="AG90" s="179"/>
      <c r="AH90" s="179"/>
      <c r="AI90" s="179"/>
      <c r="AJ90" s="179"/>
      <c r="AK90" s="179"/>
      <c r="AL90" s="179"/>
      <c r="AM90" s="179"/>
      <c r="AN90" s="179"/>
    </row>
    <row r="91" spans="1:45">
      <c r="A91" s="42"/>
      <c r="G91" s="82"/>
      <c r="H91" s="82"/>
      <c r="I91" s="82"/>
      <c r="J91" s="82"/>
      <c r="K91" s="82"/>
      <c r="L91" s="82"/>
      <c r="M91" s="82"/>
      <c r="N91" s="82"/>
      <c r="O91" s="82"/>
      <c r="P91" s="82"/>
      <c r="Q91" s="82"/>
      <c r="R91" s="77" t="str">
        <f t="shared" si="6"/>
        <v/>
      </c>
      <c r="S91" s="77" t="str">
        <f t="shared" si="6"/>
        <v/>
      </c>
      <c r="T91" s="77" t="str">
        <f t="shared" si="6"/>
        <v/>
      </c>
      <c r="U91" s="77" t="str">
        <f t="shared" si="6"/>
        <v/>
      </c>
      <c r="V91" s="77" t="str">
        <f t="shared" si="6"/>
        <v/>
      </c>
      <c r="W91" s="77" t="str">
        <f t="shared" si="4"/>
        <v/>
      </c>
      <c r="X91" s="77" t="str">
        <f t="shared" si="4"/>
        <v/>
      </c>
      <c r="Y91" s="77" t="str">
        <f t="shared" si="4"/>
        <v/>
      </c>
      <c r="Z91" s="77" t="str">
        <f t="shared" si="4"/>
        <v/>
      </c>
      <c r="AA91" s="77" t="str">
        <f t="shared" si="4"/>
        <v/>
      </c>
      <c r="AE91" s="52" t="s">
        <v>48</v>
      </c>
      <c r="AF91" s="52" t="s">
        <v>49</v>
      </c>
      <c r="AG91" s="52" t="s">
        <v>50</v>
      </c>
      <c r="AH91" s="52" t="s">
        <v>51</v>
      </c>
      <c r="AI91" s="52" t="s">
        <v>52</v>
      </c>
      <c r="AJ91" s="52" t="s">
        <v>53</v>
      </c>
      <c r="AK91" s="52" t="s">
        <v>54</v>
      </c>
      <c r="AL91" s="52" t="s">
        <v>55</v>
      </c>
      <c r="AM91" s="52" t="s">
        <v>56</v>
      </c>
      <c r="AN91" s="52" t="s">
        <v>57</v>
      </c>
    </row>
    <row r="92" spans="1:45">
      <c r="A92" s="42"/>
      <c r="G92" s="82"/>
      <c r="H92" s="82"/>
      <c r="I92" s="82"/>
      <c r="J92" s="82"/>
      <c r="K92" s="82"/>
      <c r="L92" s="82"/>
      <c r="M92" s="82"/>
      <c r="N92" s="82"/>
      <c r="O92" s="82"/>
      <c r="P92" s="82"/>
      <c r="Q92" s="82"/>
      <c r="R92" s="77" t="str">
        <f t="shared" si="6"/>
        <v/>
      </c>
      <c r="S92" s="77" t="str">
        <f t="shared" si="6"/>
        <v/>
      </c>
      <c r="T92" s="77" t="str">
        <f t="shared" si="6"/>
        <v/>
      </c>
      <c r="U92" s="77" t="str">
        <f t="shared" si="6"/>
        <v/>
      </c>
      <c r="V92" s="77" t="str">
        <f t="shared" si="6"/>
        <v/>
      </c>
      <c r="W92" s="77" t="str">
        <f t="shared" si="4"/>
        <v/>
      </c>
      <c r="X92" s="77" t="str">
        <f t="shared" si="4"/>
        <v/>
      </c>
      <c r="Y92" s="77" t="str">
        <f t="shared" si="4"/>
        <v/>
      </c>
      <c r="Z92" s="77" t="str">
        <f t="shared" si="4"/>
        <v/>
      </c>
      <c r="AA92" s="77" t="str">
        <f t="shared" si="4"/>
        <v/>
      </c>
      <c r="AD92" s="84" t="s">
        <v>66</v>
      </c>
      <c r="AE92">
        <f>AE74</f>
        <v>9</v>
      </c>
      <c r="AF92">
        <f>AE75</f>
        <v>2</v>
      </c>
      <c r="AG92">
        <f>AE76</f>
        <v>1</v>
      </c>
      <c r="AH92">
        <f>AE77</f>
        <v>1</v>
      </c>
      <c r="AI92">
        <f>AE78</f>
        <v>1</v>
      </c>
      <c r="AJ92">
        <f>AE79</f>
        <v>1</v>
      </c>
      <c r="AK92">
        <f>AE80</f>
        <v>2</v>
      </c>
      <c r="AL92">
        <f>AE81</f>
        <v>1</v>
      </c>
      <c r="AM92">
        <f>AE82</f>
        <v>4</v>
      </c>
      <c r="AN92">
        <f>AE83</f>
        <v>3</v>
      </c>
      <c r="AO92">
        <f>SUM(AE92:AN92)</f>
        <v>25</v>
      </c>
    </row>
    <row r="93" spans="1:45">
      <c r="A93" s="42"/>
      <c r="G93" s="82"/>
      <c r="H93" s="82"/>
      <c r="I93" s="82"/>
      <c r="J93" s="82"/>
      <c r="K93" s="82"/>
      <c r="L93" s="82"/>
      <c r="M93" s="82"/>
      <c r="N93" s="82"/>
      <c r="O93" s="82"/>
      <c r="P93" s="82"/>
      <c r="Q93" s="82"/>
      <c r="R93" s="77" t="str">
        <f t="shared" si="6"/>
        <v/>
      </c>
      <c r="S93" s="77" t="str">
        <f t="shared" si="6"/>
        <v/>
      </c>
      <c r="T93" s="77" t="str">
        <f t="shared" si="6"/>
        <v/>
      </c>
      <c r="U93" s="77" t="str">
        <f t="shared" si="6"/>
        <v/>
      </c>
      <c r="V93" s="77" t="str">
        <f t="shared" si="6"/>
        <v/>
      </c>
      <c r="W93" s="77" t="str">
        <f t="shared" si="4"/>
        <v/>
      </c>
      <c r="X93" s="77" t="str">
        <f t="shared" si="4"/>
        <v/>
      </c>
      <c r="Y93" s="77" t="str">
        <f t="shared" si="4"/>
        <v/>
      </c>
      <c r="Z93" s="77" t="str">
        <f t="shared" si="4"/>
        <v/>
      </c>
      <c r="AA93" s="77" t="str">
        <f t="shared" si="4"/>
        <v/>
      </c>
      <c r="AD93" s="84" t="s">
        <v>67</v>
      </c>
      <c r="AE93">
        <f>AF74</f>
        <v>1</v>
      </c>
      <c r="AF93">
        <f>AF75</f>
        <v>8</v>
      </c>
      <c r="AG93">
        <f>AF76</f>
        <v>2</v>
      </c>
      <c r="AH93">
        <f>AF77</f>
        <v>1</v>
      </c>
      <c r="AI93">
        <f>AF78</f>
        <v>1</v>
      </c>
      <c r="AJ93">
        <f>AF79</f>
        <v>2</v>
      </c>
      <c r="AK93">
        <f>AF80</f>
        <v>1</v>
      </c>
      <c r="AL93">
        <f>AF81</f>
        <v>5</v>
      </c>
      <c r="AM93">
        <f>AF82</f>
        <v>2</v>
      </c>
      <c r="AN93">
        <f>AF83</f>
        <v>2</v>
      </c>
      <c r="AO93">
        <f t="shared" ref="AO93:AO101" si="8">SUM(AE93:AN93)</f>
        <v>25</v>
      </c>
    </row>
    <row r="94" spans="1:45">
      <c r="A94" s="42"/>
      <c r="G94" s="82"/>
      <c r="H94" s="82"/>
      <c r="I94" s="82"/>
      <c r="J94" s="82"/>
      <c r="K94" s="82"/>
      <c r="L94" s="82"/>
      <c r="M94" s="82"/>
      <c r="N94" s="82"/>
      <c r="O94" s="82"/>
      <c r="P94" s="82"/>
      <c r="Q94" s="82"/>
      <c r="R94" s="77" t="str">
        <f t="shared" si="6"/>
        <v/>
      </c>
      <c r="S94" s="77" t="str">
        <f t="shared" si="6"/>
        <v/>
      </c>
      <c r="T94" s="77" t="str">
        <f t="shared" si="6"/>
        <v/>
      </c>
      <c r="U94" s="77" t="str">
        <f t="shared" si="6"/>
        <v/>
      </c>
      <c r="V94" s="77" t="str">
        <f t="shared" si="6"/>
        <v/>
      </c>
      <c r="W94" s="77" t="str">
        <f t="shared" si="4"/>
        <v/>
      </c>
      <c r="X94" s="77" t="str">
        <f t="shared" si="4"/>
        <v/>
      </c>
      <c r="Y94" s="77" t="str">
        <f t="shared" si="4"/>
        <v/>
      </c>
      <c r="Z94" s="77" t="str">
        <f t="shared" si="4"/>
        <v/>
      </c>
      <c r="AA94" s="77" t="str">
        <f t="shared" si="4"/>
        <v/>
      </c>
      <c r="AD94" s="84" t="s">
        <v>68</v>
      </c>
      <c r="AE94">
        <f>AG74</f>
        <v>1</v>
      </c>
      <c r="AF94">
        <f>AG75</f>
        <v>2</v>
      </c>
      <c r="AG94">
        <f>AG76</f>
        <v>8</v>
      </c>
      <c r="AH94">
        <f>AG77</f>
        <v>2</v>
      </c>
      <c r="AI94">
        <f>AG78</f>
        <v>3</v>
      </c>
      <c r="AJ94">
        <f>AG79</f>
        <v>1</v>
      </c>
      <c r="AK94">
        <f>AG80</f>
        <v>4</v>
      </c>
      <c r="AL94">
        <f>AG81</f>
        <v>2</v>
      </c>
      <c r="AM94">
        <f>AG82</f>
        <v>1</v>
      </c>
      <c r="AN94">
        <f>AG83</f>
        <v>1</v>
      </c>
      <c r="AO94">
        <f t="shared" si="8"/>
        <v>25</v>
      </c>
    </row>
    <row r="95" spans="1:45">
      <c r="A95" s="42"/>
      <c r="G95" s="82"/>
      <c r="H95" s="82"/>
      <c r="I95" s="82"/>
      <c r="J95" s="82"/>
      <c r="K95" s="82"/>
      <c r="L95" s="82"/>
      <c r="M95" s="82"/>
      <c r="N95" s="82"/>
      <c r="O95" s="82"/>
      <c r="P95" s="82"/>
      <c r="Q95" s="82"/>
      <c r="R95" s="77" t="str">
        <f t="shared" si="6"/>
        <v/>
      </c>
      <c r="S95" s="77" t="str">
        <f t="shared" si="6"/>
        <v/>
      </c>
      <c r="T95" s="77" t="str">
        <f t="shared" si="6"/>
        <v/>
      </c>
      <c r="U95" s="77" t="str">
        <f t="shared" si="6"/>
        <v/>
      </c>
      <c r="V95" s="77" t="str">
        <f t="shared" si="6"/>
        <v/>
      </c>
      <c r="W95" s="77" t="str">
        <f t="shared" si="4"/>
        <v/>
      </c>
      <c r="X95" s="77" t="str">
        <f t="shared" si="4"/>
        <v/>
      </c>
      <c r="Y95" s="77" t="str">
        <f t="shared" si="4"/>
        <v/>
      </c>
      <c r="Z95" s="77" t="str">
        <f t="shared" si="4"/>
        <v/>
      </c>
      <c r="AA95" s="77" t="str">
        <f t="shared" si="4"/>
        <v/>
      </c>
      <c r="AD95" s="84" t="s">
        <v>69</v>
      </c>
      <c r="AE95">
        <f>AH74</f>
        <v>1</v>
      </c>
      <c r="AF95">
        <f>AH75</f>
        <v>1</v>
      </c>
      <c r="AG95">
        <f>AH76</f>
        <v>1</v>
      </c>
      <c r="AH95">
        <f>AH77</f>
        <v>10</v>
      </c>
      <c r="AI95">
        <f>AH78</f>
        <v>3</v>
      </c>
      <c r="AJ95">
        <f>AH79</f>
        <v>3</v>
      </c>
      <c r="AK95">
        <f>AH80</f>
        <v>2</v>
      </c>
      <c r="AL95">
        <f>AH81</f>
        <v>2</v>
      </c>
      <c r="AM95">
        <f>AH82</f>
        <v>1</v>
      </c>
      <c r="AN95">
        <f>AH83</f>
        <v>1</v>
      </c>
      <c r="AO95">
        <f t="shared" si="8"/>
        <v>25</v>
      </c>
    </row>
    <row r="96" spans="1:45">
      <c r="A96" s="42"/>
      <c r="G96" s="82"/>
      <c r="H96" s="82"/>
      <c r="I96" s="82"/>
      <c r="J96" s="82"/>
      <c r="K96" s="82"/>
      <c r="L96" s="82"/>
      <c r="M96" s="82"/>
      <c r="N96" s="82"/>
      <c r="O96" s="82"/>
      <c r="P96" s="82"/>
      <c r="Q96" s="82"/>
      <c r="R96" s="77" t="str">
        <f t="shared" si="6"/>
        <v/>
      </c>
      <c r="S96" s="77" t="str">
        <f t="shared" si="6"/>
        <v/>
      </c>
      <c r="T96" s="77" t="str">
        <f t="shared" si="6"/>
        <v/>
      </c>
      <c r="U96" s="77" t="str">
        <f t="shared" si="6"/>
        <v/>
      </c>
      <c r="V96" s="77" t="str">
        <f t="shared" si="6"/>
        <v/>
      </c>
      <c r="W96" s="77" t="str">
        <f t="shared" si="4"/>
        <v/>
      </c>
      <c r="X96" s="77" t="str">
        <f t="shared" si="4"/>
        <v/>
      </c>
      <c r="Y96" s="77" t="str">
        <f t="shared" si="4"/>
        <v/>
      </c>
      <c r="Z96" s="77" t="str">
        <f t="shared" si="4"/>
        <v/>
      </c>
      <c r="AA96" s="77" t="str">
        <f t="shared" si="4"/>
        <v/>
      </c>
      <c r="AD96" s="84" t="s">
        <v>70</v>
      </c>
      <c r="AE96">
        <f>AI74</f>
        <v>3</v>
      </c>
      <c r="AF96">
        <f>AI75</f>
        <v>2</v>
      </c>
      <c r="AG96">
        <f>AI76</f>
        <v>2</v>
      </c>
      <c r="AH96">
        <f>AI77</f>
        <v>3</v>
      </c>
      <c r="AI96">
        <f>AI78</f>
        <v>7</v>
      </c>
      <c r="AJ96">
        <f>AI79</f>
        <v>4</v>
      </c>
      <c r="AK96">
        <f>AI80</f>
        <v>1</v>
      </c>
      <c r="AL96">
        <f>AI81</f>
        <v>1</v>
      </c>
      <c r="AM96">
        <f>AI82</f>
        <v>1</v>
      </c>
      <c r="AN96">
        <f>AI83</f>
        <v>1</v>
      </c>
      <c r="AO96">
        <f t="shared" si="8"/>
        <v>25</v>
      </c>
    </row>
    <row r="97" spans="1:41">
      <c r="A97" s="42"/>
      <c r="G97" s="82"/>
      <c r="H97" s="82"/>
      <c r="I97" s="82"/>
      <c r="J97" s="82"/>
      <c r="K97" s="82"/>
      <c r="L97" s="82"/>
      <c r="M97" s="82"/>
      <c r="N97" s="82"/>
      <c r="O97" s="82"/>
      <c r="P97" s="82"/>
      <c r="Q97" s="82"/>
      <c r="R97" s="77" t="str">
        <f t="shared" si="6"/>
        <v/>
      </c>
      <c r="S97" s="77" t="str">
        <f t="shared" si="6"/>
        <v/>
      </c>
      <c r="T97" s="77" t="str">
        <f t="shared" si="6"/>
        <v/>
      </c>
      <c r="U97" s="77" t="str">
        <f t="shared" si="6"/>
        <v/>
      </c>
      <c r="V97" s="77" t="str">
        <f t="shared" si="6"/>
        <v/>
      </c>
      <c r="W97" s="77" t="str">
        <f t="shared" si="4"/>
        <v/>
      </c>
      <c r="X97" s="77" t="str">
        <f t="shared" si="4"/>
        <v/>
      </c>
      <c r="Y97" s="77" t="str">
        <f t="shared" si="4"/>
        <v/>
      </c>
      <c r="Z97" s="77" t="str">
        <f t="shared" si="4"/>
        <v/>
      </c>
      <c r="AA97" s="77" t="str">
        <f t="shared" si="4"/>
        <v/>
      </c>
      <c r="AD97" s="84" t="s">
        <v>71</v>
      </c>
      <c r="AE97">
        <f>AJ74</f>
        <v>1</v>
      </c>
      <c r="AF97">
        <f>AJ75</f>
        <v>2</v>
      </c>
      <c r="AG97">
        <f>AJ76</f>
        <v>1</v>
      </c>
      <c r="AH97">
        <f>AJ77</f>
        <v>1</v>
      </c>
      <c r="AI97">
        <f>AJ78</f>
        <v>6</v>
      </c>
      <c r="AJ97">
        <f>AJ79</f>
        <v>8</v>
      </c>
      <c r="AK97">
        <f>AJ80</f>
        <v>2</v>
      </c>
      <c r="AL97">
        <f>AJ81</f>
        <v>2</v>
      </c>
      <c r="AM97">
        <f>AJ82</f>
        <v>1</v>
      </c>
      <c r="AN97">
        <f>AJ83</f>
        <v>1</v>
      </c>
      <c r="AO97">
        <f t="shared" si="8"/>
        <v>25</v>
      </c>
    </row>
    <row r="98" spans="1:41">
      <c r="A98" s="42"/>
      <c r="G98" s="82"/>
      <c r="H98" s="82"/>
      <c r="I98" s="82"/>
      <c r="J98" s="82"/>
      <c r="K98" s="82"/>
      <c r="L98" s="82"/>
      <c r="M98" s="82"/>
      <c r="N98" s="82"/>
      <c r="O98" s="82"/>
      <c r="P98" s="82"/>
      <c r="Q98" s="82"/>
      <c r="R98" s="77" t="str">
        <f t="shared" si="6"/>
        <v/>
      </c>
      <c r="S98" s="77" t="str">
        <f t="shared" si="6"/>
        <v/>
      </c>
      <c r="T98" s="77" t="str">
        <f t="shared" si="6"/>
        <v/>
      </c>
      <c r="U98" s="77" t="str">
        <f t="shared" si="6"/>
        <v/>
      </c>
      <c r="V98" s="77" t="str">
        <f t="shared" si="6"/>
        <v/>
      </c>
      <c r="W98" s="77" t="str">
        <f t="shared" si="4"/>
        <v/>
      </c>
      <c r="X98" s="77" t="str">
        <f t="shared" si="4"/>
        <v/>
      </c>
      <c r="Y98" s="77" t="str">
        <f t="shared" si="4"/>
        <v/>
      </c>
      <c r="Z98" s="77" t="str">
        <f t="shared" si="4"/>
        <v/>
      </c>
      <c r="AA98" s="77" t="str">
        <f t="shared" si="4"/>
        <v/>
      </c>
      <c r="AD98" s="84" t="s">
        <v>72</v>
      </c>
      <c r="AE98">
        <f>AK74</f>
        <v>1</v>
      </c>
      <c r="AF98">
        <f>AK75</f>
        <v>3</v>
      </c>
      <c r="AG98">
        <f>AK76</f>
        <v>2</v>
      </c>
      <c r="AH98">
        <f>AK77</f>
        <v>4</v>
      </c>
      <c r="AI98">
        <f>AK78</f>
        <v>1</v>
      </c>
      <c r="AJ98">
        <f>AK79</f>
        <v>2</v>
      </c>
      <c r="AK98">
        <f>AK80</f>
        <v>5</v>
      </c>
      <c r="AL98">
        <f>AK81</f>
        <v>3</v>
      </c>
      <c r="AM98">
        <f>AK82</f>
        <v>2</v>
      </c>
      <c r="AN98">
        <f>AK83</f>
        <v>2</v>
      </c>
      <c r="AO98">
        <f t="shared" si="8"/>
        <v>25</v>
      </c>
    </row>
    <row r="99" spans="1:41">
      <c r="A99" s="42"/>
      <c r="G99" s="82"/>
      <c r="H99" s="82"/>
      <c r="I99" s="82"/>
      <c r="J99" s="82"/>
      <c r="K99" s="82"/>
      <c r="L99" s="82"/>
      <c r="M99" s="82"/>
      <c r="N99" s="82"/>
      <c r="O99" s="82"/>
      <c r="P99" s="82"/>
      <c r="Q99" s="82"/>
      <c r="R99" s="77" t="str">
        <f t="shared" si="6"/>
        <v/>
      </c>
      <c r="S99" s="77" t="str">
        <f t="shared" si="6"/>
        <v/>
      </c>
      <c r="T99" s="77" t="str">
        <f t="shared" si="6"/>
        <v/>
      </c>
      <c r="U99" s="77" t="str">
        <f t="shared" si="6"/>
        <v/>
      </c>
      <c r="V99" s="77" t="str">
        <f t="shared" si="6"/>
        <v/>
      </c>
      <c r="W99" s="77" t="str">
        <f t="shared" si="4"/>
        <v/>
      </c>
      <c r="X99" s="77" t="str">
        <f t="shared" si="4"/>
        <v/>
      </c>
      <c r="Y99" s="77" t="str">
        <f t="shared" si="4"/>
        <v/>
      </c>
      <c r="Z99" s="77" t="str">
        <f t="shared" si="4"/>
        <v/>
      </c>
      <c r="AA99" s="77" t="str">
        <f t="shared" si="4"/>
        <v/>
      </c>
      <c r="AD99" s="84" t="s">
        <v>73</v>
      </c>
      <c r="AE99">
        <f>AL74</f>
        <v>1</v>
      </c>
      <c r="AF99">
        <f>AL75</f>
        <v>2</v>
      </c>
      <c r="AG99">
        <f>AL76</f>
        <v>6</v>
      </c>
      <c r="AH99">
        <f>AL77</f>
        <v>1</v>
      </c>
      <c r="AI99">
        <f>AL78</f>
        <v>1</v>
      </c>
      <c r="AJ99">
        <f>AL79</f>
        <v>1</v>
      </c>
      <c r="AK99">
        <f>AL80</f>
        <v>1</v>
      </c>
      <c r="AL99">
        <f>AL81</f>
        <v>7</v>
      </c>
      <c r="AM99">
        <f>AL82</f>
        <v>4</v>
      </c>
      <c r="AN99">
        <f>AL83</f>
        <v>1</v>
      </c>
      <c r="AO99">
        <f t="shared" si="8"/>
        <v>25</v>
      </c>
    </row>
    <row r="100" spans="1:41">
      <c r="A100" s="42"/>
      <c r="G100" s="82"/>
      <c r="H100" s="82"/>
      <c r="I100" s="82"/>
      <c r="J100" s="82"/>
      <c r="K100" s="82"/>
      <c r="L100" s="82"/>
      <c r="M100" s="82"/>
      <c r="N100" s="82"/>
      <c r="O100" s="82"/>
      <c r="P100" s="82"/>
      <c r="Q100" s="82"/>
      <c r="R100" s="77" t="str">
        <f t="shared" si="6"/>
        <v/>
      </c>
      <c r="S100" s="77" t="str">
        <f t="shared" si="6"/>
        <v/>
      </c>
      <c r="T100" s="77" t="str">
        <f t="shared" si="6"/>
        <v/>
      </c>
      <c r="U100" s="77" t="str">
        <f t="shared" si="6"/>
        <v/>
      </c>
      <c r="V100" s="77" t="str">
        <f t="shared" si="6"/>
        <v/>
      </c>
      <c r="W100" s="77" t="str">
        <f t="shared" si="4"/>
        <v/>
      </c>
      <c r="X100" s="77" t="str">
        <f t="shared" si="4"/>
        <v/>
      </c>
      <c r="Y100" s="77" t="str">
        <f t="shared" si="4"/>
        <v/>
      </c>
      <c r="Z100" s="77" t="str">
        <f t="shared" si="4"/>
        <v/>
      </c>
      <c r="AA100" s="77" t="str">
        <f t="shared" si="4"/>
        <v/>
      </c>
      <c r="AD100" s="84" t="s">
        <v>74</v>
      </c>
      <c r="AE100">
        <f>AM74</f>
        <v>3</v>
      </c>
      <c r="AF100">
        <f>AM75</f>
        <v>2</v>
      </c>
      <c r="AG100">
        <f>AM76</f>
        <v>1</v>
      </c>
      <c r="AH100">
        <f>AM77</f>
        <v>1</v>
      </c>
      <c r="AI100">
        <f>AM78</f>
        <v>1</v>
      </c>
      <c r="AJ100">
        <f>AM79</f>
        <v>1</v>
      </c>
      <c r="AK100">
        <f>AM80</f>
        <v>6</v>
      </c>
      <c r="AL100">
        <f>AM81</f>
        <v>1</v>
      </c>
      <c r="AM100">
        <f>AM82</f>
        <v>6</v>
      </c>
      <c r="AN100">
        <f>AM83</f>
        <v>3</v>
      </c>
      <c r="AO100">
        <f t="shared" si="8"/>
        <v>25</v>
      </c>
    </row>
    <row r="101" spans="1:41">
      <c r="A101" s="42"/>
      <c r="G101" s="82"/>
      <c r="H101" s="82"/>
      <c r="I101" s="82"/>
      <c r="J101" s="82"/>
      <c r="K101" s="82"/>
      <c r="L101" s="82"/>
      <c r="M101" s="82"/>
      <c r="N101" s="82"/>
      <c r="O101" s="82"/>
      <c r="P101" s="82"/>
      <c r="Q101" s="82"/>
      <c r="R101" s="77" t="str">
        <f t="shared" si="6"/>
        <v/>
      </c>
      <c r="S101" s="77" t="str">
        <f t="shared" si="6"/>
        <v/>
      </c>
      <c r="T101" s="77" t="str">
        <f t="shared" si="6"/>
        <v/>
      </c>
      <c r="U101" s="77" t="str">
        <f t="shared" si="6"/>
        <v/>
      </c>
      <c r="V101" s="77" t="str">
        <f t="shared" si="6"/>
        <v/>
      </c>
      <c r="W101" s="77" t="str">
        <f t="shared" si="4"/>
        <v/>
      </c>
      <c r="X101" s="77" t="str">
        <f t="shared" si="4"/>
        <v/>
      </c>
      <c r="Y101" s="77" t="str">
        <f t="shared" si="4"/>
        <v/>
      </c>
      <c r="Z101" s="77" t="str">
        <f t="shared" si="4"/>
        <v/>
      </c>
      <c r="AA101" s="77" t="str">
        <f t="shared" si="4"/>
        <v/>
      </c>
      <c r="AD101" s="84" t="s">
        <v>75</v>
      </c>
      <c r="AE101">
        <f>AN74</f>
        <v>4</v>
      </c>
      <c r="AF101">
        <f>AN75</f>
        <v>1</v>
      </c>
      <c r="AG101">
        <f>AN76</f>
        <v>1</v>
      </c>
      <c r="AH101">
        <f>AN77</f>
        <v>1</v>
      </c>
      <c r="AI101">
        <f>AN78</f>
        <v>1</v>
      </c>
      <c r="AJ101">
        <f>AN79</f>
        <v>2</v>
      </c>
      <c r="AK101">
        <f>AN80</f>
        <v>1</v>
      </c>
      <c r="AL101">
        <f>AN81</f>
        <v>1</v>
      </c>
      <c r="AM101">
        <f>AN82</f>
        <v>3</v>
      </c>
      <c r="AN101">
        <f>AN83</f>
        <v>10</v>
      </c>
      <c r="AO101">
        <f t="shared" si="8"/>
        <v>25</v>
      </c>
    </row>
    <row r="102" spans="1:41">
      <c r="A102" s="42"/>
      <c r="G102" s="82"/>
      <c r="H102" s="82"/>
      <c r="I102" s="82"/>
      <c r="J102" s="82"/>
      <c r="K102" s="82"/>
      <c r="L102" s="82"/>
      <c r="M102" s="82"/>
      <c r="N102" s="82"/>
      <c r="O102" s="82"/>
      <c r="P102" s="82"/>
      <c r="Q102" s="82"/>
      <c r="R102" s="77" t="str">
        <f t="shared" si="6"/>
        <v/>
      </c>
      <c r="S102" s="77" t="str">
        <f t="shared" si="6"/>
        <v/>
      </c>
      <c r="T102" s="77" t="str">
        <f t="shared" si="6"/>
        <v/>
      </c>
      <c r="U102" s="77" t="str">
        <f t="shared" si="6"/>
        <v/>
      </c>
      <c r="V102" s="77" t="str">
        <f t="shared" si="6"/>
        <v/>
      </c>
      <c r="W102" s="77" t="str">
        <f t="shared" si="4"/>
        <v/>
      </c>
      <c r="X102" s="77" t="str">
        <f t="shared" si="4"/>
        <v/>
      </c>
      <c r="Y102" s="77" t="str">
        <f t="shared" si="4"/>
        <v/>
      </c>
      <c r="Z102" s="77" t="str">
        <f t="shared" si="4"/>
        <v/>
      </c>
      <c r="AA102" s="77" t="str">
        <f t="shared" si="4"/>
        <v/>
      </c>
      <c r="AE102">
        <f t="shared" ref="AE102:AN102" si="9">SUM(AE92:AE101)</f>
        <v>25</v>
      </c>
      <c r="AF102">
        <f t="shared" si="9"/>
        <v>25</v>
      </c>
      <c r="AG102">
        <f t="shared" si="9"/>
        <v>25</v>
      </c>
      <c r="AH102">
        <f t="shared" si="9"/>
        <v>25</v>
      </c>
      <c r="AI102">
        <f t="shared" si="9"/>
        <v>25</v>
      </c>
      <c r="AJ102">
        <f t="shared" si="9"/>
        <v>25</v>
      </c>
      <c r="AK102">
        <f t="shared" si="9"/>
        <v>25</v>
      </c>
      <c r="AL102">
        <f t="shared" si="9"/>
        <v>25</v>
      </c>
      <c r="AM102">
        <f t="shared" si="9"/>
        <v>25</v>
      </c>
      <c r="AN102">
        <f t="shared" si="9"/>
        <v>25</v>
      </c>
    </row>
    <row r="103" spans="1:41">
      <c r="A103" s="42"/>
      <c r="G103" s="82"/>
      <c r="H103" s="82"/>
      <c r="I103" s="82"/>
      <c r="J103" s="82"/>
      <c r="K103" s="82"/>
      <c r="L103" s="82"/>
      <c r="M103" s="82"/>
      <c r="N103" s="82"/>
      <c r="O103" s="82"/>
      <c r="P103" s="82"/>
      <c r="Q103" s="82"/>
      <c r="R103" s="77" t="str">
        <f t="shared" si="6"/>
        <v/>
      </c>
      <c r="S103" s="77" t="str">
        <f t="shared" si="6"/>
        <v/>
      </c>
      <c r="T103" s="77" t="str">
        <f t="shared" si="6"/>
        <v/>
      </c>
      <c r="U103" s="77" t="str">
        <f t="shared" si="6"/>
        <v/>
      </c>
      <c r="V103" s="77" t="str">
        <f t="shared" si="6"/>
        <v/>
      </c>
      <c r="W103" s="77" t="str">
        <f t="shared" si="4"/>
        <v/>
      </c>
      <c r="X103" s="77" t="str">
        <f t="shared" si="4"/>
        <v/>
      </c>
      <c r="Y103" s="77" t="str">
        <f t="shared" si="4"/>
        <v/>
      </c>
      <c r="Z103" s="77" t="str">
        <f t="shared" si="4"/>
        <v/>
      </c>
      <c r="AA103" s="77" t="str">
        <f t="shared" si="4"/>
        <v/>
      </c>
    </row>
    <row r="104" spans="1:41">
      <c r="A104" s="42"/>
      <c r="G104" s="82"/>
      <c r="H104" s="82"/>
      <c r="I104" s="82"/>
      <c r="J104" s="82"/>
      <c r="K104" s="82"/>
      <c r="L104" s="82"/>
      <c r="M104" s="82"/>
      <c r="N104" s="82"/>
      <c r="O104" s="82"/>
      <c r="P104" s="82"/>
      <c r="Q104" s="82"/>
      <c r="R104" s="77" t="str">
        <f t="shared" si="6"/>
        <v/>
      </c>
      <c r="S104" s="77" t="str">
        <f t="shared" si="6"/>
        <v/>
      </c>
      <c r="T104" s="77" t="str">
        <f t="shared" si="6"/>
        <v/>
      </c>
      <c r="U104" s="77" t="str">
        <f t="shared" si="6"/>
        <v/>
      </c>
      <c r="V104" s="77" t="str">
        <f t="shared" si="6"/>
        <v/>
      </c>
      <c r="W104" s="77" t="str">
        <f t="shared" si="4"/>
        <v/>
      </c>
      <c r="X104" s="77" t="str">
        <f t="shared" si="4"/>
        <v/>
      </c>
      <c r="Y104" s="77" t="str">
        <f t="shared" si="4"/>
        <v/>
      </c>
      <c r="Z104" s="77" t="str">
        <f t="shared" si="4"/>
        <v/>
      </c>
      <c r="AA104" s="77" t="str">
        <f t="shared" si="4"/>
        <v/>
      </c>
    </row>
    <row r="105" spans="1:41">
      <c r="A105" s="42"/>
      <c r="G105" s="82"/>
      <c r="H105" s="82"/>
      <c r="I105" s="82"/>
      <c r="J105" s="82"/>
      <c r="K105" s="82"/>
      <c r="L105" s="82"/>
      <c r="M105" s="82"/>
      <c r="N105" s="82"/>
      <c r="O105" s="82"/>
      <c r="P105" s="82"/>
      <c r="Q105" s="82"/>
      <c r="R105" s="77" t="str">
        <f t="shared" si="6"/>
        <v/>
      </c>
      <c r="S105" s="77" t="str">
        <f t="shared" si="6"/>
        <v/>
      </c>
      <c r="T105" s="77" t="str">
        <f t="shared" si="6"/>
        <v/>
      </c>
      <c r="U105" s="77" t="str">
        <f t="shared" si="6"/>
        <v/>
      </c>
      <c r="V105" s="77" t="str">
        <f t="shared" si="6"/>
        <v/>
      </c>
      <c r="W105" s="77" t="str">
        <f t="shared" si="4"/>
        <v/>
      </c>
      <c r="X105" s="77" t="str">
        <f t="shared" si="4"/>
        <v/>
      </c>
      <c r="Y105" s="77" t="str">
        <f t="shared" si="4"/>
        <v/>
      </c>
      <c r="Z105" s="77" t="str">
        <f t="shared" si="4"/>
        <v/>
      </c>
      <c r="AA105" s="77" t="str">
        <f t="shared" si="4"/>
        <v/>
      </c>
    </row>
    <row r="106" spans="1:41">
      <c r="A106" s="42"/>
      <c r="G106" s="82"/>
      <c r="H106" s="82"/>
      <c r="I106" s="82"/>
      <c r="J106" s="82"/>
      <c r="K106" s="82"/>
      <c r="L106" s="82"/>
      <c r="M106" s="82"/>
      <c r="N106" s="82"/>
      <c r="O106" s="82"/>
      <c r="P106" s="82"/>
      <c r="Q106" s="82"/>
      <c r="R106" s="77" t="str">
        <f t="shared" si="6"/>
        <v/>
      </c>
      <c r="S106" s="77" t="str">
        <f t="shared" si="6"/>
        <v/>
      </c>
      <c r="T106" s="77" t="str">
        <f t="shared" si="6"/>
        <v/>
      </c>
      <c r="U106" s="77" t="str">
        <f t="shared" si="6"/>
        <v/>
      </c>
      <c r="V106" s="77" t="str">
        <f t="shared" si="6"/>
        <v/>
      </c>
      <c r="W106" s="77" t="str">
        <f t="shared" si="4"/>
        <v/>
      </c>
      <c r="X106" s="77" t="str">
        <f t="shared" si="4"/>
        <v/>
      </c>
      <c r="Y106" s="77" t="str">
        <f t="shared" si="4"/>
        <v/>
      </c>
      <c r="Z106" s="77" t="str">
        <f t="shared" si="4"/>
        <v/>
      </c>
      <c r="AA106" s="77" t="str">
        <f t="shared" si="4"/>
        <v/>
      </c>
    </row>
    <row r="107" spans="1:41">
      <c r="A107" s="42"/>
      <c r="G107" s="82"/>
      <c r="H107" s="82"/>
      <c r="I107" s="82"/>
      <c r="J107" s="82"/>
      <c r="K107" s="82"/>
      <c r="L107" s="82"/>
      <c r="M107" s="82"/>
      <c r="N107" s="82"/>
      <c r="O107" s="82"/>
      <c r="P107" s="82"/>
      <c r="Q107" s="82"/>
      <c r="R107" s="77" t="str">
        <f t="shared" si="6"/>
        <v/>
      </c>
      <c r="S107" s="77" t="str">
        <f t="shared" si="6"/>
        <v/>
      </c>
      <c r="T107" s="77" t="str">
        <f t="shared" si="6"/>
        <v/>
      </c>
      <c r="U107" s="77" t="str">
        <f t="shared" si="6"/>
        <v/>
      </c>
      <c r="V107" s="77" t="str">
        <f t="shared" si="6"/>
        <v/>
      </c>
      <c r="W107" s="77" t="str">
        <f t="shared" si="4"/>
        <v/>
      </c>
      <c r="X107" s="77" t="str">
        <f t="shared" si="4"/>
        <v/>
      </c>
      <c r="Y107" s="77" t="str">
        <f t="shared" si="4"/>
        <v/>
      </c>
      <c r="Z107" s="77" t="str">
        <f t="shared" si="4"/>
        <v/>
      </c>
      <c r="AA107" s="77" t="str">
        <f t="shared" si="4"/>
        <v/>
      </c>
    </row>
    <row r="108" spans="1:41">
      <c r="A108" s="42"/>
      <c r="G108" s="82"/>
      <c r="H108" s="82"/>
      <c r="I108" s="82"/>
      <c r="J108" s="82"/>
      <c r="K108" s="82"/>
      <c r="L108" s="82"/>
      <c r="M108" s="82"/>
      <c r="N108" s="82"/>
      <c r="O108" s="82"/>
      <c r="P108" s="82"/>
      <c r="Q108" s="82"/>
      <c r="R108" s="77" t="str">
        <f t="shared" si="6"/>
        <v/>
      </c>
      <c r="S108" s="77" t="str">
        <f t="shared" si="6"/>
        <v/>
      </c>
      <c r="T108" s="77" t="str">
        <f t="shared" si="6"/>
        <v/>
      </c>
      <c r="U108" s="77" t="str">
        <f t="shared" si="6"/>
        <v/>
      </c>
      <c r="V108" s="77" t="str">
        <f t="shared" si="6"/>
        <v/>
      </c>
      <c r="W108" s="77" t="str">
        <f t="shared" si="4"/>
        <v/>
      </c>
      <c r="X108" s="77" t="str">
        <f t="shared" si="4"/>
        <v/>
      </c>
      <c r="Y108" s="77" t="str">
        <f t="shared" si="4"/>
        <v/>
      </c>
      <c r="Z108" s="77" t="str">
        <f t="shared" si="4"/>
        <v/>
      </c>
      <c r="AA108" s="77" t="str">
        <f t="shared" si="4"/>
        <v/>
      </c>
    </row>
    <row r="109" spans="1:41">
      <c r="A109" s="42"/>
      <c r="G109" s="82"/>
      <c r="H109" s="82"/>
      <c r="I109" s="82"/>
      <c r="J109" s="82"/>
      <c r="K109" s="82"/>
      <c r="L109" s="82"/>
      <c r="M109" s="82"/>
      <c r="N109" s="82"/>
      <c r="O109" s="82"/>
      <c r="P109" s="82"/>
      <c r="Q109" s="82"/>
      <c r="R109" s="77" t="str">
        <f t="shared" si="6"/>
        <v/>
      </c>
      <c r="S109" s="77" t="str">
        <f t="shared" si="6"/>
        <v/>
      </c>
      <c r="T109" s="77" t="str">
        <f t="shared" si="6"/>
        <v/>
      </c>
      <c r="U109" s="77" t="str">
        <f t="shared" si="6"/>
        <v/>
      </c>
      <c r="V109" s="77" t="str">
        <f t="shared" si="6"/>
        <v/>
      </c>
      <c r="W109" s="77" t="str">
        <f t="shared" si="4"/>
        <v/>
      </c>
      <c r="X109" s="77" t="str">
        <f t="shared" si="4"/>
        <v/>
      </c>
      <c r="Y109" s="77" t="str">
        <f t="shared" si="4"/>
        <v/>
      </c>
      <c r="Z109" s="77" t="str">
        <f t="shared" si="4"/>
        <v/>
      </c>
      <c r="AA109" s="77" t="str">
        <f t="shared" si="4"/>
        <v/>
      </c>
    </row>
    <row r="110" spans="1:41">
      <c r="A110" s="42"/>
      <c r="G110" s="82"/>
      <c r="H110" s="82"/>
      <c r="I110" s="82"/>
      <c r="J110" s="82"/>
      <c r="K110" s="82"/>
      <c r="L110" s="82"/>
      <c r="M110" s="82"/>
      <c r="N110" s="82"/>
      <c r="O110" s="82"/>
      <c r="P110" s="82"/>
      <c r="Q110" s="82"/>
      <c r="R110" s="82"/>
      <c r="S110" s="82"/>
      <c r="T110" s="82"/>
      <c r="U110" s="82"/>
      <c r="V110" s="82"/>
      <c r="W110" s="82"/>
      <c r="X110" s="82"/>
      <c r="Y110" s="82"/>
      <c r="Z110" s="82"/>
      <c r="AA110" s="82"/>
    </row>
    <row r="111" spans="1:41">
      <c r="A111" s="42"/>
      <c r="G111" s="82"/>
      <c r="H111" s="82"/>
      <c r="I111" s="82"/>
      <c r="J111" s="82"/>
      <c r="K111" s="82"/>
      <c r="L111" s="82"/>
      <c r="M111" s="82"/>
      <c r="N111" s="82"/>
      <c r="O111" s="82"/>
      <c r="P111" s="82"/>
      <c r="Q111" s="82"/>
      <c r="R111" s="82"/>
      <c r="S111" s="82"/>
      <c r="T111" s="82"/>
      <c r="U111" s="82"/>
      <c r="V111" s="82"/>
      <c r="W111" s="82"/>
      <c r="X111" s="82"/>
      <c r="Y111" s="82"/>
      <c r="Z111" s="82"/>
      <c r="AA111" s="82"/>
    </row>
    <row r="112" spans="1:41">
      <c r="A112" s="42"/>
      <c r="G112" s="82"/>
      <c r="H112" s="82"/>
      <c r="I112" s="82"/>
      <c r="J112" s="82"/>
      <c r="K112" s="82"/>
      <c r="L112" s="82"/>
      <c r="M112" s="82"/>
      <c r="N112" s="82"/>
      <c r="O112" s="82"/>
      <c r="P112" s="82"/>
      <c r="Q112" s="82"/>
      <c r="R112" s="82"/>
      <c r="S112" s="82"/>
      <c r="T112" s="82"/>
      <c r="U112" s="82"/>
      <c r="V112" s="82"/>
      <c r="W112" s="82"/>
      <c r="X112" s="82"/>
      <c r="Y112" s="82"/>
      <c r="Z112" s="82"/>
      <c r="AA112" s="82"/>
    </row>
    <row r="113" spans="1:27">
      <c r="A113" s="42"/>
      <c r="G113" s="82"/>
      <c r="H113" s="82"/>
      <c r="I113" s="82"/>
      <c r="J113" s="82"/>
      <c r="K113" s="82"/>
      <c r="L113" s="82"/>
      <c r="M113" s="82"/>
      <c r="N113" s="82"/>
      <c r="O113" s="82"/>
      <c r="P113" s="82"/>
      <c r="Q113" s="82"/>
      <c r="R113" s="82"/>
      <c r="S113" s="82"/>
      <c r="T113" s="82"/>
      <c r="U113" s="82"/>
      <c r="V113" s="82"/>
      <c r="W113" s="82"/>
      <c r="X113" s="82"/>
      <c r="Y113" s="82"/>
      <c r="Z113" s="82"/>
      <c r="AA113" s="82"/>
    </row>
    <row r="114" spans="1:27">
      <c r="A114" s="42"/>
      <c r="G114" s="82"/>
      <c r="H114" s="82"/>
      <c r="I114" s="82"/>
      <c r="J114" s="82"/>
      <c r="K114" s="82"/>
      <c r="L114" s="82"/>
      <c r="M114" s="82"/>
      <c r="N114" s="82"/>
      <c r="O114" s="82"/>
      <c r="P114" s="82"/>
      <c r="Q114" s="82"/>
      <c r="R114" s="82"/>
      <c r="S114" s="82"/>
      <c r="T114" s="82"/>
      <c r="U114" s="82"/>
      <c r="V114" s="82"/>
      <c r="W114" s="82"/>
      <c r="X114" s="82"/>
      <c r="Y114" s="82"/>
      <c r="Z114" s="82"/>
      <c r="AA114" s="82"/>
    </row>
    <row r="115" spans="1:27">
      <c r="A115" s="42"/>
      <c r="G115" s="82"/>
      <c r="H115" s="82"/>
      <c r="I115" s="82"/>
      <c r="J115" s="82"/>
      <c r="K115" s="82"/>
      <c r="L115" s="82"/>
      <c r="M115" s="82"/>
      <c r="N115" s="82"/>
      <c r="O115" s="82"/>
      <c r="P115" s="82"/>
      <c r="Q115" s="82"/>
      <c r="R115" s="82"/>
      <c r="S115" s="82"/>
      <c r="T115" s="82"/>
      <c r="U115" s="82"/>
      <c r="V115" s="82"/>
      <c r="W115" s="82"/>
      <c r="X115" s="82"/>
      <c r="Y115" s="82"/>
      <c r="Z115" s="82"/>
      <c r="AA115" s="82"/>
    </row>
    <row r="116" spans="1:27">
      <c r="A116" s="42"/>
      <c r="G116" s="82"/>
      <c r="H116" s="82"/>
      <c r="I116" s="82"/>
      <c r="J116" s="82"/>
      <c r="K116" s="82"/>
      <c r="L116" s="82"/>
      <c r="M116" s="82"/>
      <c r="N116" s="82"/>
      <c r="O116" s="82"/>
      <c r="P116" s="82"/>
      <c r="Q116" s="82"/>
      <c r="R116" s="82"/>
      <c r="S116" s="82"/>
      <c r="T116" s="82"/>
      <c r="U116" s="82"/>
      <c r="V116" s="82"/>
      <c r="W116" s="82"/>
      <c r="X116" s="82"/>
      <c r="Y116" s="82"/>
      <c r="Z116" s="82"/>
      <c r="AA116" s="82"/>
    </row>
    <row r="117" spans="1:27">
      <c r="A117" s="42"/>
      <c r="G117" s="82"/>
      <c r="H117" s="82"/>
      <c r="I117" s="82"/>
      <c r="J117" s="82"/>
      <c r="K117" s="82"/>
      <c r="L117" s="82"/>
      <c r="M117" s="82"/>
      <c r="N117" s="82"/>
      <c r="O117" s="82"/>
      <c r="P117" s="82"/>
      <c r="Q117" s="82"/>
      <c r="R117" s="82"/>
      <c r="S117" s="82"/>
      <c r="T117" s="82"/>
      <c r="U117" s="82"/>
      <c r="V117" s="82"/>
      <c r="W117" s="82"/>
      <c r="X117" s="82"/>
      <c r="Y117" s="82"/>
      <c r="Z117" s="82"/>
      <c r="AA117" s="82"/>
    </row>
    <row r="118" spans="1:27">
      <c r="A118" s="42"/>
      <c r="G118" s="82"/>
      <c r="H118" s="82"/>
      <c r="I118" s="82"/>
      <c r="J118" s="82"/>
      <c r="K118" s="82"/>
      <c r="L118" s="82"/>
      <c r="M118" s="82"/>
      <c r="N118" s="82"/>
      <c r="O118" s="82"/>
      <c r="P118" s="82"/>
      <c r="Q118" s="82"/>
      <c r="R118" s="82"/>
      <c r="S118" s="82"/>
      <c r="T118" s="82"/>
      <c r="U118" s="82"/>
      <c r="V118" s="82"/>
      <c r="W118" s="82"/>
      <c r="X118" s="82"/>
      <c r="Y118" s="82"/>
      <c r="Z118" s="82"/>
      <c r="AA118" s="82"/>
    </row>
    <row r="119" spans="1:27">
      <c r="A119" s="42"/>
      <c r="G119" s="82"/>
      <c r="H119" s="82"/>
      <c r="I119" s="82"/>
      <c r="J119" s="82"/>
      <c r="K119" s="82"/>
      <c r="L119" s="82"/>
      <c r="M119" s="82"/>
      <c r="N119" s="82"/>
      <c r="O119" s="82"/>
      <c r="P119" s="82"/>
      <c r="Q119" s="82"/>
      <c r="R119" s="82"/>
      <c r="S119" s="82"/>
      <c r="T119" s="82"/>
      <c r="U119" s="82"/>
      <c r="V119" s="82"/>
      <c r="W119" s="82"/>
      <c r="X119" s="82"/>
      <c r="Y119" s="82"/>
      <c r="Z119" s="82"/>
      <c r="AA119" s="82"/>
    </row>
    <row r="120" spans="1:27">
      <c r="A120" s="42"/>
      <c r="G120" s="82"/>
      <c r="H120" s="82"/>
      <c r="I120" s="82"/>
      <c r="J120" s="82"/>
      <c r="K120" s="82"/>
      <c r="L120" s="82"/>
      <c r="M120" s="82"/>
      <c r="N120" s="82"/>
      <c r="O120" s="82"/>
      <c r="P120" s="82"/>
      <c r="Q120" s="82"/>
      <c r="R120" s="82"/>
      <c r="S120" s="82"/>
      <c r="T120" s="82"/>
      <c r="U120" s="82"/>
      <c r="V120" s="82"/>
      <c r="W120" s="82"/>
      <c r="X120" s="82"/>
      <c r="Y120" s="82"/>
      <c r="Z120" s="82"/>
      <c r="AA120" s="82"/>
    </row>
    <row r="121" spans="1:27">
      <c r="A121" s="42"/>
      <c r="G121" s="82"/>
      <c r="H121" s="82"/>
      <c r="I121" s="82"/>
      <c r="J121" s="82"/>
      <c r="K121" s="82"/>
      <c r="L121" s="82"/>
      <c r="M121" s="82"/>
      <c r="N121" s="82"/>
      <c r="O121" s="82"/>
      <c r="P121" s="82"/>
      <c r="Q121" s="82"/>
      <c r="R121" s="82"/>
      <c r="S121" s="82"/>
      <c r="T121" s="82"/>
      <c r="U121" s="82"/>
      <c r="V121" s="82"/>
      <c r="W121" s="82"/>
      <c r="X121" s="82"/>
      <c r="Y121" s="82"/>
      <c r="Z121" s="82"/>
      <c r="AA121" s="82"/>
    </row>
    <row r="122" spans="1:27">
      <c r="A122" s="42"/>
      <c r="G122" s="82"/>
      <c r="H122" s="82"/>
      <c r="I122" s="82"/>
      <c r="J122" s="82"/>
      <c r="K122" s="82"/>
      <c r="L122" s="82"/>
      <c r="M122" s="82"/>
      <c r="N122" s="82"/>
      <c r="O122" s="82"/>
      <c r="P122" s="82"/>
      <c r="Q122" s="82"/>
      <c r="R122" s="82"/>
      <c r="S122" s="82"/>
      <c r="T122" s="82"/>
      <c r="U122" s="82"/>
      <c r="V122" s="82"/>
      <c r="W122" s="82"/>
      <c r="X122" s="82"/>
      <c r="Y122" s="82"/>
      <c r="Z122" s="82"/>
      <c r="AA122" s="82"/>
    </row>
    <row r="123" spans="1:27">
      <c r="A123" s="42"/>
      <c r="G123" s="82"/>
      <c r="H123" s="82"/>
      <c r="I123" s="82"/>
      <c r="J123" s="82"/>
      <c r="K123" s="82"/>
      <c r="L123" s="82"/>
      <c r="M123" s="82"/>
      <c r="N123" s="82"/>
      <c r="O123" s="82"/>
      <c r="P123" s="82"/>
      <c r="Q123" s="82"/>
      <c r="R123" s="82"/>
      <c r="S123" s="82"/>
      <c r="T123" s="82"/>
      <c r="U123" s="82"/>
      <c r="V123" s="82"/>
      <c r="W123" s="82"/>
      <c r="X123" s="82"/>
      <c r="Y123" s="82"/>
      <c r="Z123" s="82"/>
      <c r="AA123" s="82"/>
    </row>
    <row r="124" spans="1:27">
      <c r="A124" s="42"/>
      <c r="G124" s="82"/>
      <c r="H124" s="82"/>
      <c r="I124" s="82"/>
      <c r="J124" s="82"/>
      <c r="K124" s="82"/>
      <c r="L124" s="82"/>
      <c r="M124" s="82"/>
      <c r="N124" s="82"/>
      <c r="O124" s="82"/>
      <c r="P124" s="82"/>
      <c r="Q124" s="82"/>
      <c r="R124" s="82"/>
      <c r="S124" s="82"/>
      <c r="T124" s="82"/>
      <c r="U124" s="82"/>
      <c r="V124" s="82"/>
      <c r="W124" s="82"/>
      <c r="X124" s="82"/>
      <c r="Y124" s="82"/>
      <c r="Z124" s="82"/>
      <c r="AA124" s="82"/>
    </row>
    <row r="125" spans="1:27">
      <c r="A125" s="42"/>
      <c r="G125" s="82"/>
      <c r="H125" s="82"/>
      <c r="I125" s="82"/>
      <c r="J125" s="82"/>
      <c r="K125" s="82"/>
      <c r="L125" s="82"/>
      <c r="M125" s="82"/>
      <c r="N125" s="82"/>
      <c r="O125" s="82"/>
      <c r="P125" s="82"/>
      <c r="Q125" s="82"/>
      <c r="R125" s="82"/>
      <c r="S125" s="82"/>
      <c r="T125" s="82"/>
      <c r="U125" s="82"/>
      <c r="V125" s="82"/>
      <c r="W125" s="82"/>
      <c r="X125" s="82"/>
      <c r="Y125" s="82"/>
      <c r="Z125" s="82"/>
      <c r="AA125" s="82"/>
    </row>
    <row r="126" spans="1:27">
      <c r="A126" s="42"/>
      <c r="G126" s="82"/>
      <c r="H126" s="82"/>
      <c r="I126" s="82"/>
      <c r="J126" s="82"/>
      <c r="K126" s="82"/>
      <c r="L126" s="82"/>
      <c r="M126" s="82"/>
      <c r="N126" s="82"/>
      <c r="O126" s="82"/>
      <c r="P126" s="82"/>
      <c r="Q126" s="82"/>
      <c r="R126" s="82"/>
      <c r="S126" s="82"/>
      <c r="T126" s="82"/>
      <c r="U126" s="82"/>
      <c r="V126" s="82"/>
      <c r="W126" s="82"/>
      <c r="X126" s="82"/>
      <c r="Y126" s="82"/>
      <c r="Z126" s="82"/>
      <c r="AA126" s="82"/>
    </row>
    <row r="127" spans="1:27">
      <c r="A127" s="42"/>
      <c r="G127" s="82"/>
      <c r="H127" s="82"/>
      <c r="I127" s="82"/>
      <c r="J127" s="82"/>
      <c r="K127" s="82"/>
      <c r="L127" s="82"/>
      <c r="M127" s="82"/>
      <c r="N127" s="82"/>
      <c r="O127" s="82"/>
      <c r="P127" s="82"/>
      <c r="Q127" s="82"/>
      <c r="R127" s="82"/>
      <c r="S127" s="82"/>
      <c r="T127" s="82"/>
      <c r="U127" s="82"/>
      <c r="V127" s="82"/>
      <c r="W127" s="82"/>
      <c r="X127" s="82"/>
      <c r="Y127" s="82"/>
      <c r="Z127" s="82"/>
      <c r="AA127" s="82"/>
    </row>
    <row r="128" spans="1:27">
      <c r="A128" s="42"/>
      <c r="G128" s="82"/>
      <c r="H128" s="82"/>
      <c r="I128" s="82"/>
      <c r="J128" s="82"/>
      <c r="K128" s="82"/>
      <c r="L128" s="82"/>
      <c r="M128" s="82"/>
      <c r="N128" s="82"/>
      <c r="O128" s="82"/>
      <c r="P128" s="82"/>
      <c r="Q128" s="82"/>
      <c r="R128" s="82"/>
      <c r="S128" s="82"/>
      <c r="T128" s="82"/>
      <c r="U128" s="82"/>
      <c r="V128" s="82"/>
      <c r="W128" s="82"/>
      <c r="X128" s="82"/>
      <c r="Y128" s="82"/>
      <c r="Z128" s="82"/>
      <c r="AA128" s="82"/>
    </row>
    <row r="129" spans="1:27">
      <c r="A129" s="42"/>
      <c r="G129" s="82"/>
      <c r="H129" s="82"/>
      <c r="I129" s="82"/>
      <c r="J129" s="82"/>
      <c r="K129" s="82"/>
      <c r="L129" s="82"/>
      <c r="M129" s="82"/>
      <c r="N129" s="82"/>
      <c r="O129" s="82"/>
      <c r="P129" s="82"/>
      <c r="Q129" s="82"/>
      <c r="R129" s="82"/>
      <c r="S129" s="82"/>
      <c r="T129" s="82"/>
      <c r="U129" s="82"/>
      <c r="V129" s="82"/>
      <c r="W129" s="82"/>
      <c r="X129" s="82"/>
      <c r="Y129" s="82"/>
      <c r="Z129" s="82"/>
      <c r="AA129" s="82"/>
    </row>
    <row r="130" spans="1:27">
      <c r="A130" s="42"/>
      <c r="G130" s="82"/>
      <c r="H130" s="82"/>
      <c r="I130" s="82"/>
      <c r="J130" s="82"/>
      <c r="K130" s="82"/>
      <c r="L130" s="82"/>
      <c r="M130" s="82"/>
      <c r="N130" s="82"/>
      <c r="O130" s="82"/>
      <c r="P130" s="82"/>
      <c r="Q130" s="82"/>
      <c r="R130" s="82"/>
      <c r="S130" s="82"/>
      <c r="T130" s="82"/>
      <c r="U130" s="82"/>
      <c r="V130" s="82"/>
      <c r="W130" s="82"/>
      <c r="X130" s="82"/>
      <c r="Y130" s="82"/>
      <c r="Z130" s="82"/>
      <c r="AA130" s="82"/>
    </row>
    <row r="131" spans="1:27">
      <c r="A131" s="42"/>
      <c r="G131" s="82"/>
      <c r="H131" s="82"/>
      <c r="I131" s="82"/>
      <c r="J131" s="82"/>
      <c r="K131" s="82"/>
      <c r="L131" s="82"/>
      <c r="M131" s="82"/>
      <c r="N131" s="82"/>
      <c r="O131" s="82"/>
      <c r="P131" s="82"/>
      <c r="Q131" s="82"/>
      <c r="R131" s="82"/>
      <c r="S131" s="82"/>
      <c r="T131" s="82"/>
      <c r="U131" s="82"/>
      <c r="V131" s="82"/>
      <c r="W131" s="82"/>
      <c r="X131" s="82"/>
      <c r="Y131" s="82"/>
      <c r="Z131" s="82"/>
      <c r="AA131" s="82"/>
    </row>
    <row r="132" spans="1:27">
      <c r="A132" s="42"/>
      <c r="G132" s="82"/>
      <c r="H132" s="82"/>
      <c r="I132" s="82"/>
      <c r="J132" s="82"/>
      <c r="K132" s="82"/>
      <c r="L132" s="82"/>
      <c r="M132" s="82"/>
      <c r="N132" s="82"/>
      <c r="O132" s="82"/>
      <c r="P132" s="82"/>
      <c r="Q132" s="82"/>
      <c r="R132" s="82"/>
      <c r="S132" s="82"/>
      <c r="T132" s="82"/>
      <c r="U132" s="82"/>
      <c r="V132" s="82"/>
      <c r="W132" s="82"/>
      <c r="X132" s="82"/>
      <c r="Y132" s="82"/>
      <c r="Z132" s="82"/>
      <c r="AA132" s="82"/>
    </row>
    <row r="133" spans="1:27">
      <c r="A133" s="42"/>
      <c r="G133" s="82"/>
      <c r="H133" s="82"/>
      <c r="I133" s="82"/>
      <c r="J133" s="82"/>
      <c r="K133" s="82"/>
      <c r="L133" s="82"/>
      <c r="M133" s="82"/>
      <c r="N133" s="82"/>
      <c r="O133" s="82"/>
      <c r="P133" s="82"/>
      <c r="Q133" s="82"/>
      <c r="R133" s="82"/>
      <c r="S133" s="82"/>
      <c r="T133" s="82"/>
      <c r="U133" s="82"/>
      <c r="V133" s="82"/>
      <c r="W133" s="82"/>
      <c r="X133" s="82"/>
      <c r="Y133" s="82"/>
      <c r="Z133" s="82"/>
      <c r="AA133" s="82"/>
    </row>
    <row r="134" spans="1:27">
      <c r="A134" s="42"/>
      <c r="G134" s="82"/>
      <c r="H134" s="82"/>
      <c r="I134" s="82"/>
      <c r="J134" s="82"/>
      <c r="K134" s="82"/>
      <c r="L134" s="82"/>
      <c r="M134" s="82"/>
      <c r="N134" s="82"/>
      <c r="O134" s="82"/>
      <c r="P134" s="82"/>
      <c r="Q134" s="82"/>
      <c r="R134" s="82"/>
      <c r="S134" s="82"/>
      <c r="T134" s="82"/>
      <c r="U134" s="82"/>
      <c r="V134" s="82"/>
      <c r="W134" s="82"/>
      <c r="X134" s="82"/>
      <c r="Y134" s="82"/>
      <c r="Z134" s="82"/>
      <c r="AA134" s="82"/>
    </row>
    <row r="135" spans="1:27">
      <c r="A135" s="42"/>
      <c r="G135" s="82"/>
      <c r="H135" s="82"/>
      <c r="I135" s="82"/>
      <c r="J135" s="82"/>
      <c r="K135" s="82"/>
      <c r="L135" s="82"/>
      <c r="M135" s="82"/>
      <c r="N135" s="82"/>
      <c r="O135" s="82"/>
      <c r="P135" s="82"/>
      <c r="Q135" s="82"/>
      <c r="R135" s="82"/>
      <c r="S135" s="82"/>
      <c r="T135" s="82"/>
      <c r="U135" s="82"/>
      <c r="V135" s="82"/>
      <c r="W135" s="82"/>
      <c r="X135" s="82"/>
      <c r="Y135" s="82"/>
      <c r="Z135" s="82"/>
      <c r="AA135" s="82"/>
    </row>
    <row r="136" spans="1:27">
      <c r="A136" s="42"/>
      <c r="G136" s="82"/>
      <c r="H136" s="82"/>
      <c r="I136" s="82"/>
      <c r="J136" s="82"/>
      <c r="K136" s="82"/>
      <c r="L136" s="82"/>
      <c r="M136" s="82"/>
      <c r="N136" s="82"/>
      <c r="O136" s="82"/>
      <c r="P136" s="82"/>
      <c r="Q136" s="82"/>
      <c r="R136" s="82"/>
      <c r="S136" s="82"/>
      <c r="T136" s="82"/>
      <c r="U136" s="82"/>
      <c r="V136" s="82"/>
      <c r="W136" s="82"/>
      <c r="X136" s="82"/>
      <c r="Y136" s="82"/>
      <c r="Z136" s="82"/>
      <c r="AA136" s="82"/>
    </row>
    <row r="137" spans="1:27">
      <c r="A137" s="42"/>
      <c r="G137" s="82"/>
      <c r="H137" s="82"/>
      <c r="I137" s="82"/>
      <c r="J137" s="82"/>
      <c r="K137" s="82"/>
      <c r="L137" s="82"/>
      <c r="M137" s="82"/>
      <c r="N137" s="82"/>
      <c r="O137" s="82"/>
      <c r="P137" s="82"/>
      <c r="Q137" s="82"/>
      <c r="R137" s="82"/>
      <c r="S137" s="82"/>
      <c r="T137" s="82"/>
      <c r="U137" s="82"/>
      <c r="V137" s="82"/>
      <c r="W137" s="82"/>
      <c r="X137" s="82"/>
      <c r="Y137" s="82"/>
      <c r="Z137" s="82"/>
      <c r="AA137" s="82"/>
    </row>
    <row r="138" spans="1:27">
      <c r="A138" s="42"/>
      <c r="G138" s="82"/>
      <c r="H138" s="82"/>
      <c r="I138" s="82"/>
      <c r="J138" s="82"/>
      <c r="K138" s="82"/>
      <c r="L138" s="82"/>
      <c r="M138" s="82"/>
      <c r="N138" s="82"/>
      <c r="O138" s="82"/>
      <c r="P138" s="82"/>
      <c r="Q138" s="82"/>
      <c r="R138" s="82"/>
      <c r="S138" s="82"/>
      <c r="T138" s="82"/>
      <c r="U138" s="82"/>
      <c r="V138" s="82"/>
      <c r="W138" s="82"/>
      <c r="X138" s="82"/>
      <c r="Y138" s="82"/>
      <c r="Z138" s="82"/>
      <c r="AA138" s="82"/>
    </row>
    <row r="139" spans="1:27">
      <c r="A139" s="42"/>
      <c r="G139" s="82"/>
      <c r="H139" s="82"/>
      <c r="I139" s="82"/>
      <c r="J139" s="82"/>
      <c r="K139" s="82"/>
      <c r="L139" s="82"/>
      <c r="M139" s="82"/>
      <c r="N139" s="82"/>
      <c r="O139" s="82"/>
      <c r="P139" s="82"/>
      <c r="Q139" s="82"/>
      <c r="R139" s="82"/>
      <c r="S139" s="82"/>
      <c r="T139" s="82"/>
      <c r="U139" s="82"/>
      <c r="V139" s="82"/>
      <c r="W139" s="82"/>
      <c r="X139" s="82"/>
      <c r="Y139" s="82"/>
      <c r="Z139" s="82"/>
      <c r="AA139" s="82"/>
    </row>
    <row r="140" spans="1:27">
      <c r="A140" s="42"/>
      <c r="G140" s="82"/>
      <c r="H140" s="82"/>
      <c r="I140" s="82"/>
      <c r="J140" s="82"/>
      <c r="K140" s="82"/>
      <c r="L140" s="82"/>
      <c r="M140" s="82"/>
      <c r="N140" s="82"/>
      <c r="O140" s="82"/>
      <c r="P140" s="82"/>
      <c r="Q140" s="82"/>
      <c r="R140" s="82"/>
      <c r="S140" s="82"/>
      <c r="T140" s="82"/>
      <c r="U140" s="82"/>
      <c r="V140" s="82"/>
      <c r="W140" s="82"/>
      <c r="X140" s="82"/>
      <c r="Y140" s="82"/>
      <c r="Z140" s="82"/>
      <c r="AA140" s="82"/>
    </row>
    <row r="141" spans="1:27">
      <c r="A141" s="42"/>
      <c r="G141" s="82"/>
      <c r="H141" s="82"/>
      <c r="I141" s="82"/>
      <c r="J141" s="82"/>
      <c r="K141" s="82"/>
      <c r="L141" s="82"/>
      <c r="M141" s="82"/>
      <c r="N141" s="82"/>
      <c r="O141" s="82"/>
      <c r="P141" s="82"/>
      <c r="Q141" s="82"/>
      <c r="R141" s="82"/>
      <c r="S141" s="82"/>
      <c r="T141" s="82"/>
      <c r="U141" s="82"/>
      <c r="V141" s="82"/>
      <c r="W141" s="82"/>
      <c r="X141" s="82"/>
      <c r="Y141" s="82"/>
      <c r="Z141" s="82"/>
      <c r="AA141" s="82"/>
    </row>
    <row r="142" spans="1:27">
      <c r="A142" s="42"/>
      <c r="G142" s="82"/>
      <c r="H142" s="82"/>
      <c r="I142" s="82"/>
      <c r="J142" s="82"/>
      <c r="K142" s="82"/>
      <c r="L142" s="82"/>
      <c r="M142" s="82"/>
      <c r="N142" s="82"/>
      <c r="O142" s="82"/>
      <c r="P142" s="82"/>
      <c r="Q142" s="82"/>
      <c r="R142" s="82"/>
      <c r="S142" s="82"/>
      <c r="T142" s="82"/>
      <c r="U142" s="82"/>
      <c r="V142" s="82"/>
      <c r="W142" s="82"/>
      <c r="X142" s="82"/>
      <c r="Y142" s="82"/>
      <c r="Z142" s="82"/>
      <c r="AA142" s="82"/>
    </row>
    <row r="143" spans="1:27">
      <c r="A143" s="42"/>
      <c r="G143" s="82"/>
      <c r="H143" s="82"/>
      <c r="I143" s="82"/>
      <c r="J143" s="82"/>
      <c r="K143" s="82"/>
      <c r="L143" s="82"/>
      <c r="M143" s="82"/>
      <c r="N143" s="82"/>
      <c r="O143" s="82"/>
      <c r="P143" s="82"/>
      <c r="Q143" s="82"/>
      <c r="R143" s="82"/>
      <c r="S143" s="82"/>
      <c r="T143" s="82"/>
      <c r="U143" s="82"/>
      <c r="V143" s="82"/>
      <c r="W143" s="82"/>
      <c r="X143" s="82"/>
      <c r="Y143" s="82"/>
      <c r="Z143" s="82"/>
      <c r="AA143" s="82"/>
    </row>
    <row r="144" spans="1:27">
      <c r="A144" s="42"/>
      <c r="G144" s="82"/>
      <c r="H144" s="82"/>
      <c r="I144" s="82"/>
      <c r="J144" s="82"/>
      <c r="K144" s="82"/>
      <c r="L144" s="82"/>
      <c r="M144" s="82"/>
      <c r="N144" s="82"/>
      <c r="O144" s="82"/>
      <c r="P144" s="82"/>
      <c r="Q144" s="82"/>
      <c r="R144" s="82"/>
      <c r="S144" s="82"/>
      <c r="T144" s="82"/>
      <c r="U144" s="82"/>
      <c r="V144" s="82"/>
      <c r="W144" s="82"/>
      <c r="X144" s="82"/>
      <c r="Y144" s="82"/>
      <c r="Z144" s="82"/>
      <c r="AA144" s="82"/>
    </row>
    <row r="145" spans="1:27">
      <c r="A145" s="42"/>
      <c r="G145" s="82"/>
      <c r="H145" s="82"/>
      <c r="I145" s="82"/>
      <c r="J145" s="82"/>
      <c r="K145" s="82"/>
      <c r="L145" s="82"/>
      <c r="M145" s="82"/>
      <c r="N145" s="82"/>
      <c r="O145" s="82"/>
      <c r="P145" s="82"/>
      <c r="Q145" s="82"/>
      <c r="R145" s="82"/>
      <c r="S145" s="82"/>
      <c r="T145" s="82"/>
      <c r="U145" s="82"/>
      <c r="V145" s="82"/>
      <c r="W145" s="82"/>
      <c r="X145" s="82"/>
      <c r="Y145" s="82"/>
      <c r="Z145" s="82"/>
      <c r="AA145" s="82"/>
    </row>
    <row r="146" spans="1:27">
      <c r="A146" s="42"/>
      <c r="G146" s="82"/>
      <c r="H146" s="82"/>
      <c r="I146" s="82"/>
      <c r="J146" s="82"/>
      <c r="K146" s="82"/>
      <c r="L146" s="82"/>
      <c r="M146" s="82"/>
      <c r="N146" s="82"/>
      <c r="O146" s="82"/>
      <c r="P146" s="82"/>
      <c r="Q146" s="82"/>
      <c r="R146" s="82"/>
      <c r="S146" s="82"/>
      <c r="T146" s="82"/>
      <c r="U146" s="82"/>
      <c r="V146" s="82"/>
      <c r="W146" s="82"/>
      <c r="X146" s="82"/>
      <c r="Y146" s="82"/>
      <c r="Z146" s="82"/>
      <c r="AA146" s="82"/>
    </row>
    <row r="147" spans="1:27">
      <c r="A147" s="42"/>
      <c r="G147" s="82"/>
      <c r="H147" s="82"/>
      <c r="I147" s="82"/>
      <c r="J147" s="82"/>
      <c r="K147" s="82"/>
      <c r="L147" s="82"/>
      <c r="M147" s="82"/>
      <c r="N147" s="82"/>
      <c r="O147" s="82"/>
      <c r="P147" s="82"/>
      <c r="Q147" s="82"/>
      <c r="R147" s="82"/>
      <c r="S147" s="82"/>
      <c r="T147" s="82"/>
      <c r="U147" s="82"/>
      <c r="V147" s="82"/>
      <c r="W147" s="82"/>
      <c r="X147" s="82"/>
      <c r="Y147" s="82"/>
      <c r="Z147" s="82"/>
      <c r="AA147" s="82"/>
    </row>
    <row r="148" spans="1:27">
      <c r="A148" s="42"/>
      <c r="G148" s="82"/>
      <c r="H148" s="82"/>
      <c r="I148" s="82"/>
      <c r="J148" s="82"/>
      <c r="K148" s="82"/>
      <c r="L148" s="82"/>
      <c r="M148" s="82"/>
      <c r="N148" s="82"/>
      <c r="O148" s="82"/>
      <c r="P148" s="82"/>
      <c r="Q148" s="82"/>
      <c r="R148" s="82"/>
      <c r="S148" s="82"/>
      <c r="T148" s="82"/>
      <c r="U148" s="82"/>
      <c r="V148" s="82"/>
      <c r="W148" s="82"/>
      <c r="X148" s="82"/>
      <c r="Y148" s="82"/>
      <c r="Z148" s="82"/>
      <c r="AA148" s="82"/>
    </row>
    <row r="149" spans="1:27">
      <c r="A149" s="42"/>
      <c r="G149" s="82"/>
      <c r="H149" s="82"/>
      <c r="I149" s="82"/>
      <c r="J149" s="82"/>
      <c r="K149" s="82"/>
      <c r="L149" s="82"/>
      <c r="M149" s="82"/>
      <c r="N149" s="82"/>
      <c r="O149" s="82"/>
      <c r="P149" s="82"/>
      <c r="Q149" s="82"/>
      <c r="R149" s="82"/>
      <c r="S149" s="82"/>
      <c r="T149" s="82"/>
      <c r="U149" s="82"/>
      <c r="V149" s="82"/>
      <c r="W149" s="82"/>
      <c r="X149" s="82"/>
      <c r="Y149" s="82"/>
      <c r="Z149" s="82"/>
      <c r="AA149" s="82"/>
    </row>
    <row r="150" spans="1:27">
      <c r="A150" s="42"/>
      <c r="G150" s="82"/>
      <c r="H150" s="82"/>
      <c r="I150" s="82"/>
      <c r="J150" s="82"/>
      <c r="K150" s="82"/>
      <c r="L150" s="82"/>
      <c r="M150" s="82"/>
      <c r="N150" s="82"/>
      <c r="O150" s="82"/>
      <c r="P150" s="82"/>
      <c r="Q150" s="82"/>
      <c r="R150" s="82"/>
      <c r="S150" s="82"/>
      <c r="T150" s="82"/>
      <c r="U150" s="82"/>
      <c r="V150" s="82"/>
      <c r="W150" s="82"/>
      <c r="X150" s="82"/>
      <c r="Y150" s="82"/>
      <c r="Z150" s="82"/>
      <c r="AA150" s="82"/>
    </row>
    <row r="151" spans="1:27">
      <c r="A151" s="42"/>
      <c r="G151" s="82"/>
      <c r="H151" s="82"/>
      <c r="I151" s="82"/>
      <c r="J151" s="82"/>
      <c r="K151" s="82"/>
      <c r="L151" s="82"/>
      <c r="M151" s="82"/>
      <c r="N151" s="82"/>
      <c r="O151" s="82"/>
      <c r="P151" s="82"/>
      <c r="Q151" s="82"/>
      <c r="R151" s="82"/>
      <c r="S151" s="82"/>
      <c r="T151" s="82"/>
      <c r="U151" s="82"/>
      <c r="V151" s="82"/>
      <c r="W151" s="82"/>
      <c r="X151" s="82"/>
      <c r="Y151" s="82"/>
      <c r="Z151" s="82"/>
      <c r="AA151" s="82"/>
    </row>
    <row r="152" spans="1:27">
      <c r="A152" s="42"/>
      <c r="G152" s="82"/>
      <c r="H152" s="82"/>
      <c r="I152" s="82"/>
      <c r="J152" s="82"/>
      <c r="K152" s="82"/>
      <c r="L152" s="82"/>
      <c r="M152" s="82"/>
      <c r="N152" s="82"/>
      <c r="O152" s="82"/>
      <c r="P152" s="82"/>
      <c r="Q152" s="82"/>
      <c r="R152" s="82"/>
      <c r="S152" s="82"/>
      <c r="T152" s="82"/>
      <c r="U152" s="82"/>
      <c r="V152" s="82"/>
      <c r="W152" s="82"/>
      <c r="X152" s="82"/>
      <c r="Y152" s="82"/>
      <c r="Z152" s="82"/>
      <c r="AA152" s="82"/>
    </row>
    <row r="153" spans="1:27">
      <c r="A153" s="42"/>
      <c r="G153" s="82"/>
      <c r="H153" s="82"/>
      <c r="I153" s="82"/>
      <c r="J153" s="82"/>
      <c r="K153" s="82"/>
      <c r="L153" s="82"/>
      <c r="M153" s="82"/>
      <c r="N153" s="82"/>
      <c r="O153" s="82"/>
      <c r="P153" s="82"/>
      <c r="Q153" s="82"/>
      <c r="R153" s="82"/>
      <c r="S153" s="82"/>
      <c r="T153" s="82"/>
      <c r="U153" s="82"/>
      <c r="V153" s="82"/>
      <c r="W153" s="82"/>
      <c r="X153" s="82"/>
      <c r="Y153" s="82"/>
      <c r="Z153" s="82"/>
      <c r="AA153" s="82"/>
    </row>
    <row r="154" spans="1:27">
      <c r="A154" s="42"/>
      <c r="G154" s="82"/>
      <c r="H154" s="82"/>
      <c r="I154" s="82"/>
      <c r="J154" s="82"/>
      <c r="K154" s="82"/>
      <c r="L154" s="82"/>
      <c r="M154" s="82"/>
      <c r="N154" s="82"/>
      <c r="O154" s="82"/>
      <c r="P154" s="82"/>
      <c r="Q154" s="82"/>
      <c r="R154" s="82"/>
      <c r="S154" s="82"/>
      <c r="T154" s="82"/>
      <c r="U154" s="82"/>
      <c r="V154" s="82"/>
      <c r="W154" s="82"/>
      <c r="X154" s="82"/>
      <c r="Y154" s="82"/>
      <c r="Z154" s="82"/>
      <c r="AA154" s="82"/>
    </row>
    <row r="155" spans="1:27">
      <c r="A155" s="42"/>
      <c r="G155" s="82"/>
      <c r="H155" s="82"/>
      <c r="I155" s="82"/>
      <c r="J155" s="82"/>
      <c r="K155" s="82"/>
      <c r="L155" s="82"/>
      <c r="M155" s="82"/>
      <c r="N155" s="82"/>
      <c r="O155" s="82"/>
      <c r="P155" s="82"/>
      <c r="Q155" s="82"/>
      <c r="R155" s="82"/>
      <c r="S155" s="82"/>
      <c r="T155" s="82"/>
      <c r="U155" s="82"/>
      <c r="V155" s="82"/>
      <c r="W155" s="82"/>
      <c r="X155" s="82"/>
      <c r="Y155" s="82"/>
      <c r="Z155" s="82"/>
      <c r="AA155" s="82"/>
    </row>
    <row r="156" spans="1:27">
      <c r="A156" s="42"/>
      <c r="G156" s="82"/>
      <c r="H156" s="82"/>
      <c r="I156" s="82"/>
      <c r="J156" s="82"/>
      <c r="K156" s="82"/>
      <c r="L156" s="82"/>
      <c r="M156" s="82"/>
      <c r="N156" s="82"/>
      <c r="O156" s="82"/>
      <c r="P156" s="82"/>
      <c r="Q156" s="82"/>
      <c r="R156" s="82"/>
      <c r="S156" s="82"/>
      <c r="T156" s="82"/>
      <c r="U156" s="82"/>
      <c r="V156" s="82"/>
      <c r="W156" s="82"/>
      <c r="X156" s="82"/>
      <c r="Y156" s="82"/>
      <c r="Z156" s="82"/>
      <c r="AA156" s="82"/>
    </row>
    <row r="157" spans="1:27">
      <c r="A157" s="42"/>
      <c r="G157" s="82"/>
      <c r="H157" s="82"/>
      <c r="I157" s="82"/>
      <c r="J157" s="82"/>
      <c r="K157" s="82"/>
      <c r="L157" s="82"/>
      <c r="M157" s="82"/>
      <c r="N157" s="82"/>
      <c r="O157" s="82"/>
      <c r="P157" s="82"/>
      <c r="Q157" s="82"/>
      <c r="R157" s="82"/>
      <c r="S157" s="82"/>
      <c r="T157" s="82"/>
      <c r="U157" s="82"/>
      <c r="V157" s="82"/>
      <c r="W157" s="82"/>
      <c r="X157" s="82"/>
      <c r="Y157" s="82"/>
      <c r="Z157" s="82"/>
      <c r="AA157" s="82"/>
    </row>
    <row r="158" spans="1:27">
      <c r="A158" s="42"/>
      <c r="G158" s="82"/>
      <c r="H158" s="82"/>
      <c r="I158" s="82"/>
      <c r="J158" s="82"/>
      <c r="K158" s="82"/>
      <c r="L158" s="82"/>
      <c r="M158" s="82"/>
      <c r="N158" s="82"/>
      <c r="O158" s="82"/>
      <c r="P158" s="82"/>
      <c r="Q158" s="82"/>
      <c r="R158" s="82"/>
      <c r="S158" s="82"/>
      <c r="T158" s="82"/>
      <c r="U158" s="82"/>
      <c r="V158" s="82"/>
      <c r="W158" s="82"/>
      <c r="X158" s="82"/>
      <c r="Y158" s="82"/>
      <c r="Z158" s="82"/>
      <c r="AA158" s="82"/>
    </row>
    <row r="159" spans="1:27">
      <c r="A159" s="42"/>
      <c r="G159" s="82"/>
      <c r="H159" s="82"/>
      <c r="I159" s="82"/>
      <c r="J159" s="82"/>
      <c r="K159" s="82"/>
      <c r="L159" s="82"/>
      <c r="M159" s="82"/>
      <c r="N159" s="82"/>
      <c r="O159" s="82"/>
      <c r="P159" s="82"/>
      <c r="Q159" s="82"/>
      <c r="R159" s="82"/>
      <c r="S159" s="82"/>
      <c r="T159" s="82"/>
      <c r="U159" s="82"/>
      <c r="V159" s="82"/>
      <c r="W159" s="82"/>
      <c r="X159" s="82"/>
      <c r="Y159" s="82"/>
      <c r="Z159" s="82"/>
      <c r="AA159" s="82"/>
    </row>
    <row r="160" spans="1:27">
      <c r="A160" s="42"/>
      <c r="G160" s="82"/>
      <c r="H160" s="82"/>
      <c r="I160" s="82"/>
      <c r="J160" s="82"/>
      <c r="K160" s="82"/>
      <c r="L160" s="82"/>
      <c r="M160" s="82"/>
      <c r="N160" s="82"/>
      <c r="O160" s="82"/>
      <c r="P160" s="82"/>
      <c r="Q160" s="82"/>
      <c r="R160" s="82"/>
      <c r="S160" s="82"/>
      <c r="T160" s="82"/>
      <c r="U160" s="82"/>
      <c r="V160" s="82"/>
      <c r="W160" s="82"/>
      <c r="X160" s="82"/>
      <c r="Y160" s="82"/>
      <c r="Z160" s="82"/>
      <c r="AA160" s="82"/>
    </row>
    <row r="161" spans="1:27">
      <c r="A161" s="42"/>
      <c r="G161" s="82"/>
      <c r="H161" s="82"/>
      <c r="I161" s="82"/>
      <c r="J161" s="82"/>
      <c r="K161" s="82"/>
      <c r="L161" s="82"/>
      <c r="M161" s="82"/>
      <c r="N161" s="82"/>
      <c r="O161" s="82"/>
      <c r="P161" s="82"/>
      <c r="Q161" s="82"/>
      <c r="R161" s="82"/>
      <c r="S161" s="82"/>
      <c r="T161" s="82"/>
      <c r="U161" s="82"/>
      <c r="V161" s="82"/>
      <c r="W161" s="82"/>
      <c r="X161" s="82"/>
      <c r="Y161" s="82"/>
      <c r="Z161" s="82"/>
      <c r="AA161" s="82"/>
    </row>
    <row r="162" spans="1:27">
      <c r="A162" s="42"/>
      <c r="G162" s="82"/>
      <c r="H162" s="82"/>
      <c r="I162" s="82"/>
      <c r="J162" s="82"/>
      <c r="K162" s="82"/>
      <c r="L162" s="82"/>
      <c r="M162" s="82"/>
      <c r="N162" s="82"/>
      <c r="O162" s="82"/>
      <c r="P162" s="82"/>
      <c r="Q162" s="82"/>
      <c r="R162" s="82"/>
      <c r="S162" s="82"/>
      <c r="T162" s="82"/>
      <c r="U162" s="82"/>
      <c r="V162" s="82"/>
      <c r="W162" s="82"/>
      <c r="X162" s="82"/>
      <c r="Y162" s="82"/>
      <c r="Z162" s="82"/>
      <c r="AA162" s="82"/>
    </row>
    <row r="163" spans="1:27">
      <c r="A163" s="42"/>
      <c r="G163" s="82"/>
      <c r="H163" s="82"/>
      <c r="I163" s="82"/>
      <c r="J163" s="82"/>
      <c r="K163" s="82"/>
      <c r="L163" s="82"/>
      <c r="M163" s="82"/>
      <c r="N163" s="82"/>
      <c r="O163" s="82"/>
      <c r="P163" s="82"/>
      <c r="Q163" s="82"/>
      <c r="R163" s="82"/>
      <c r="S163" s="82"/>
      <c r="T163" s="82"/>
      <c r="U163" s="82"/>
      <c r="V163" s="82"/>
      <c r="W163" s="82"/>
      <c r="X163" s="82"/>
      <c r="Y163" s="82"/>
      <c r="Z163" s="82"/>
      <c r="AA163" s="82"/>
    </row>
    <row r="164" spans="1:27">
      <c r="A164" s="42"/>
      <c r="G164" s="82"/>
      <c r="H164" s="82"/>
      <c r="I164" s="82"/>
      <c r="J164" s="82"/>
      <c r="K164" s="82"/>
      <c r="L164" s="82"/>
      <c r="M164" s="82"/>
      <c r="N164" s="82"/>
      <c r="O164" s="82"/>
      <c r="P164" s="82"/>
      <c r="Q164" s="82"/>
      <c r="R164" s="82"/>
      <c r="S164" s="82"/>
      <c r="T164" s="82"/>
      <c r="U164" s="82"/>
      <c r="V164" s="82"/>
      <c r="W164" s="82"/>
      <c r="X164" s="82"/>
      <c r="Y164" s="82"/>
      <c r="Z164" s="82"/>
      <c r="AA164" s="82"/>
    </row>
    <row r="165" spans="1:27">
      <c r="A165" s="42"/>
      <c r="G165" s="82"/>
      <c r="H165" s="82"/>
      <c r="I165" s="82"/>
      <c r="J165" s="82"/>
      <c r="K165" s="82"/>
      <c r="L165" s="82"/>
      <c r="M165" s="82"/>
      <c r="N165" s="82"/>
      <c r="O165" s="82"/>
      <c r="P165" s="82"/>
      <c r="Q165" s="82"/>
      <c r="R165" s="82"/>
      <c r="S165" s="82"/>
      <c r="T165" s="82"/>
      <c r="U165" s="82"/>
      <c r="V165" s="82"/>
      <c r="W165" s="82"/>
      <c r="X165" s="82"/>
      <c r="Y165" s="82"/>
      <c r="Z165" s="82"/>
      <c r="AA165" s="82"/>
    </row>
    <row r="166" spans="1:27">
      <c r="A166" s="42"/>
      <c r="G166" s="82"/>
      <c r="H166" s="82"/>
      <c r="I166" s="82"/>
      <c r="J166" s="82"/>
      <c r="K166" s="82"/>
      <c r="L166" s="82"/>
      <c r="M166" s="82"/>
      <c r="N166" s="82"/>
      <c r="O166" s="82"/>
      <c r="P166" s="82"/>
      <c r="Q166" s="82"/>
      <c r="R166" s="82"/>
      <c r="S166" s="82"/>
      <c r="T166" s="82"/>
      <c r="U166" s="82"/>
      <c r="V166" s="82"/>
      <c r="W166" s="82"/>
      <c r="X166" s="82"/>
      <c r="Y166" s="82"/>
      <c r="Z166" s="82"/>
      <c r="AA166" s="82"/>
    </row>
    <row r="167" spans="1:27">
      <c r="A167" s="42"/>
      <c r="G167" s="82"/>
      <c r="H167" s="82"/>
      <c r="I167" s="82"/>
      <c r="J167" s="82"/>
      <c r="K167" s="82"/>
      <c r="L167" s="82"/>
      <c r="M167" s="82"/>
      <c r="N167" s="82"/>
      <c r="O167" s="82"/>
      <c r="P167" s="82"/>
      <c r="Q167" s="82"/>
      <c r="R167" s="82"/>
      <c r="S167" s="82"/>
      <c r="T167" s="82"/>
      <c r="U167" s="82"/>
      <c r="V167" s="82"/>
      <c r="W167" s="82"/>
      <c r="X167" s="82"/>
      <c r="Y167" s="82"/>
      <c r="Z167" s="82"/>
      <c r="AA167" s="82"/>
    </row>
    <row r="168" spans="1:27">
      <c r="A168" s="42"/>
      <c r="G168" s="82"/>
      <c r="H168" s="82"/>
      <c r="I168" s="82"/>
      <c r="J168" s="82"/>
      <c r="K168" s="82"/>
      <c r="L168" s="82"/>
      <c r="M168" s="82"/>
      <c r="N168" s="82"/>
      <c r="O168" s="82"/>
      <c r="P168" s="82"/>
      <c r="Q168" s="82"/>
      <c r="R168" s="82"/>
      <c r="S168" s="82"/>
      <c r="T168" s="82"/>
      <c r="U168" s="82"/>
      <c r="V168" s="82"/>
      <c r="W168" s="82"/>
      <c r="X168" s="82"/>
      <c r="Y168" s="82"/>
      <c r="Z168" s="82"/>
      <c r="AA168" s="82"/>
    </row>
    <row r="169" spans="1:27">
      <c r="A169" s="42"/>
      <c r="G169" s="82"/>
      <c r="H169" s="82"/>
      <c r="I169" s="82"/>
      <c r="J169" s="82"/>
      <c r="K169" s="82"/>
      <c r="L169" s="82"/>
      <c r="M169" s="82"/>
      <c r="N169" s="82"/>
      <c r="O169" s="82"/>
      <c r="P169" s="82"/>
      <c r="Q169" s="82"/>
      <c r="R169" s="82"/>
      <c r="S169" s="82"/>
      <c r="T169" s="82"/>
      <c r="U169" s="82"/>
      <c r="V169" s="82"/>
      <c r="W169" s="82"/>
      <c r="X169" s="82"/>
      <c r="Y169" s="82"/>
      <c r="Z169" s="82"/>
      <c r="AA169" s="82"/>
    </row>
    <row r="170" spans="1:27">
      <c r="A170" s="42"/>
      <c r="G170" s="82"/>
      <c r="H170" s="82"/>
      <c r="I170" s="82"/>
      <c r="J170" s="82"/>
      <c r="K170" s="82"/>
      <c r="L170" s="82"/>
      <c r="M170" s="82"/>
      <c r="N170" s="82"/>
      <c r="O170" s="82"/>
      <c r="P170" s="82"/>
      <c r="Q170" s="82"/>
      <c r="R170" s="82"/>
      <c r="S170" s="82"/>
      <c r="T170" s="82"/>
      <c r="U170" s="82"/>
      <c r="V170" s="82"/>
      <c r="W170" s="82"/>
      <c r="X170" s="82"/>
      <c r="Y170" s="82"/>
      <c r="Z170" s="82"/>
      <c r="AA170" s="82"/>
    </row>
    <row r="171" spans="1:27">
      <c r="G171" s="82"/>
      <c r="H171" s="82"/>
      <c r="I171" s="82"/>
      <c r="J171" s="82"/>
      <c r="K171" s="82"/>
      <c r="L171" s="82"/>
      <c r="M171" s="82"/>
      <c r="N171" s="82"/>
      <c r="O171" s="82"/>
      <c r="P171" s="82"/>
      <c r="Q171" s="82"/>
      <c r="R171" s="82"/>
      <c r="S171" s="82"/>
      <c r="T171" s="82"/>
      <c r="U171" s="82"/>
      <c r="V171" s="82"/>
      <c r="W171" s="82"/>
      <c r="X171" s="82"/>
      <c r="Y171" s="82"/>
      <c r="Z171" s="82"/>
      <c r="AA171" s="82"/>
    </row>
    <row r="172" spans="1:27">
      <c r="G172" s="82"/>
      <c r="H172" s="82"/>
      <c r="I172" s="82"/>
      <c r="J172" s="82"/>
      <c r="K172" s="82"/>
      <c r="L172" s="82"/>
      <c r="M172" s="82"/>
      <c r="N172" s="82"/>
      <c r="O172" s="82"/>
      <c r="P172" s="82"/>
      <c r="Q172" s="82"/>
      <c r="R172" s="82"/>
      <c r="S172" s="82"/>
      <c r="T172" s="82"/>
      <c r="U172" s="82"/>
      <c r="V172" s="82"/>
      <c r="W172" s="82"/>
      <c r="X172" s="82"/>
      <c r="Y172" s="82"/>
      <c r="Z172" s="82"/>
      <c r="AA172" s="82"/>
    </row>
    <row r="173" spans="1:27">
      <c r="G173" s="82"/>
      <c r="H173" s="82"/>
      <c r="I173" s="82"/>
      <c r="J173" s="82"/>
      <c r="K173" s="82"/>
      <c r="L173" s="82"/>
      <c r="M173" s="82"/>
      <c r="N173" s="82"/>
      <c r="O173" s="82"/>
      <c r="P173" s="82"/>
      <c r="Q173" s="82"/>
      <c r="R173" s="82"/>
      <c r="S173" s="82"/>
      <c r="T173" s="82"/>
      <c r="U173" s="82"/>
      <c r="V173" s="82"/>
      <c r="W173" s="82"/>
      <c r="X173" s="82"/>
      <c r="Y173" s="82"/>
      <c r="Z173" s="82"/>
      <c r="AA173" s="82"/>
    </row>
    <row r="174" spans="1:27">
      <c r="G174" s="82"/>
      <c r="H174" s="82"/>
      <c r="I174" s="82"/>
      <c r="J174" s="82"/>
      <c r="K174" s="82"/>
      <c r="L174" s="82"/>
      <c r="M174" s="82"/>
      <c r="N174" s="82"/>
      <c r="O174" s="82"/>
      <c r="P174" s="82"/>
      <c r="Q174" s="82"/>
      <c r="R174" s="82"/>
      <c r="S174" s="82"/>
      <c r="T174" s="82"/>
      <c r="U174" s="82"/>
      <c r="V174" s="82"/>
      <c r="W174" s="82"/>
      <c r="X174" s="82"/>
      <c r="Y174" s="82"/>
      <c r="Z174" s="82"/>
      <c r="AA174" s="82"/>
    </row>
    <row r="175" spans="1:27">
      <c r="G175" s="82"/>
      <c r="H175" s="82"/>
      <c r="I175" s="82"/>
      <c r="J175" s="82"/>
      <c r="K175" s="82"/>
      <c r="L175" s="82"/>
      <c r="M175" s="82"/>
      <c r="N175" s="82"/>
      <c r="O175" s="82"/>
      <c r="P175" s="82"/>
      <c r="Q175" s="82"/>
      <c r="R175" s="82"/>
      <c r="S175" s="82"/>
      <c r="T175" s="82"/>
      <c r="U175" s="82"/>
      <c r="V175" s="82"/>
      <c r="W175" s="82"/>
      <c r="X175" s="82"/>
      <c r="Y175" s="82"/>
      <c r="Z175" s="82"/>
      <c r="AA175" s="82"/>
    </row>
    <row r="176" spans="1:27">
      <c r="G176" s="82"/>
      <c r="H176" s="82"/>
      <c r="I176" s="82"/>
      <c r="J176" s="82"/>
      <c r="K176" s="82"/>
      <c r="L176" s="82"/>
      <c r="M176" s="82"/>
      <c r="N176" s="82"/>
      <c r="O176" s="82"/>
      <c r="P176" s="82"/>
      <c r="Q176" s="82"/>
      <c r="R176" s="82"/>
      <c r="S176" s="82"/>
      <c r="T176" s="82"/>
      <c r="U176" s="82"/>
      <c r="V176" s="82"/>
      <c r="W176" s="82"/>
      <c r="X176" s="82"/>
      <c r="Y176" s="82"/>
      <c r="Z176" s="82"/>
      <c r="AA176" s="82"/>
    </row>
    <row r="177" spans="7:27">
      <c r="G177" s="82"/>
      <c r="H177" s="82"/>
      <c r="I177" s="82"/>
      <c r="J177" s="82"/>
      <c r="K177" s="82"/>
      <c r="L177" s="82"/>
      <c r="M177" s="82"/>
      <c r="N177" s="82"/>
      <c r="O177" s="82"/>
      <c r="P177" s="82"/>
      <c r="Q177" s="82"/>
      <c r="R177" s="82"/>
      <c r="S177" s="82"/>
      <c r="T177" s="82"/>
      <c r="U177" s="82"/>
      <c r="V177" s="82"/>
      <c r="W177" s="82"/>
      <c r="X177" s="82"/>
      <c r="Y177" s="82"/>
      <c r="Z177" s="82"/>
      <c r="AA177" s="82"/>
    </row>
    <row r="178" spans="7:27">
      <c r="G178" s="82"/>
      <c r="H178" s="82"/>
      <c r="I178" s="82"/>
      <c r="J178" s="82"/>
      <c r="K178" s="82"/>
      <c r="L178" s="82"/>
      <c r="M178" s="82"/>
      <c r="N178" s="82"/>
      <c r="O178" s="82"/>
      <c r="P178" s="82"/>
      <c r="Q178" s="82"/>
      <c r="R178" s="82"/>
      <c r="S178" s="82"/>
      <c r="T178" s="82"/>
      <c r="U178" s="82"/>
      <c r="V178" s="82"/>
      <c r="W178" s="82"/>
      <c r="X178" s="82"/>
      <c r="Y178" s="82"/>
      <c r="Z178" s="82"/>
      <c r="AA178" s="82"/>
    </row>
    <row r="179" spans="7:27">
      <c r="G179" s="82"/>
      <c r="H179" s="82"/>
      <c r="I179" s="82"/>
      <c r="J179" s="82"/>
      <c r="K179" s="82"/>
      <c r="L179" s="82"/>
      <c r="M179" s="82"/>
      <c r="N179" s="82"/>
      <c r="O179" s="82"/>
      <c r="P179" s="82"/>
      <c r="Q179" s="82"/>
      <c r="R179" s="82"/>
      <c r="S179" s="82"/>
      <c r="T179" s="82"/>
      <c r="U179" s="82"/>
      <c r="V179" s="82"/>
      <c r="W179" s="82"/>
      <c r="X179" s="82"/>
      <c r="Y179" s="82"/>
      <c r="Z179" s="82"/>
      <c r="AA179" s="82"/>
    </row>
    <row r="180" spans="7:27">
      <c r="G180" s="82"/>
      <c r="H180" s="82"/>
      <c r="I180" s="82"/>
      <c r="J180" s="82"/>
      <c r="K180" s="82"/>
      <c r="L180" s="82"/>
      <c r="M180" s="82"/>
      <c r="N180" s="82"/>
      <c r="O180" s="82"/>
      <c r="P180" s="82"/>
      <c r="Q180" s="82"/>
      <c r="R180" s="82"/>
      <c r="S180" s="82"/>
      <c r="T180" s="82"/>
      <c r="U180" s="82"/>
      <c r="V180" s="82"/>
      <c r="W180" s="82"/>
      <c r="X180" s="82"/>
      <c r="Y180" s="82"/>
      <c r="Z180" s="82"/>
      <c r="AA180" s="82"/>
    </row>
  </sheetData>
  <mergeCells count="23">
    <mergeCell ref="G2:I3"/>
    <mergeCell ref="C12:E12"/>
    <mergeCell ref="C15:E15"/>
    <mergeCell ref="C18:E18"/>
    <mergeCell ref="C21:E21"/>
    <mergeCell ref="C24:E24"/>
    <mergeCell ref="C27:E27"/>
    <mergeCell ref="G5:W7"/>
    <mergeCell ref="AD5:AE32"/>
    <mergeCell ref="X6:AA6"/>
    <mergeCell ref="AE90:AN90"/>
    <mergeCell ref="AE63:AN63"/>
    <mergeCell ref="AS63:AT63"/>
    <mergeCell ref="AU63:AV63"/>
    <mergeCell ref="AS64:AT64"/>
    <mergeCell ref="AU64:AV64"/>
    <mergeCell ref="AS65:AT65"/>
    <mergeCell ref="AU65:AV65"/>
    <mergeCell ref="AE67:AN67"/>
    <mergeCell ref="AQ67:AZ67"/>
    <mergeCell ref="AE72:AN72"/>
    <mergeCell ref="AP72:AQ72"/>
    <mergeCell ref="AE86:AG86"/>
  </mergeCells>
  <phoneticPr fontId="40" type="noConversion"/>
  <conditionalFormatting sqref="X6:AA6">
    <cfRule type="expression" dxfId="8" priority="1">
      <formula>AND(AE84=AN84, AE84=AF84, AE84=AG84, AE84=AH84, AE84=AI84, AE84=AJ84, AE84=AK84, AE84=AL84, AE84=AM84)</formula>
    </cfRule>
  </conditionalFormatting>
  <hyperlinks>
    <hyperlink ref="C15" location="'Data recording'!G2" display="Data recording" xr:uid="{60606115-FB52-42A5-95C3-AFE976185FB2}"/>
    <hyperlink ref="C18" location="'Composite scale'!G2" display="Composite scale" xr:uid="{FE093C44-7825-4694-A237-BE7F6DFB6D4C}"/>
    <hyperlink ref="C21" location="Visulization!G2" display="Visulization" xr:uid="{FEFF5B9A-703E-4A72-9AF9-9FEFE00E04A3}"/>
    <hyperlink ref="C24" location="Import!G2" display="Import data" xr:uid="{9C0D3B34-B574-4A0D-AF7F-55EAB7EF5B46}"/>
    <hyperlink ref="C27" location="Subgroups!G2" display="Subgroups" xr:uid="{1D254601-161A-4465-B917-898A9855EA2D}"/>
    <hyperlink ref="B2" location="Help!G2" display="Help" xr:uid="{30654741-F001-4794-A4D0-F984BB46E975}"/>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47D29-CEB0-4539-BB6E-CE1EFD7BA269}">
  <sheetPr codeName="Sheet11"/>
  <dimension ref="A1:CD170"/>
  <sheetViews>
    <sheetView tabSelected="1" zoomScale="70" zoomScaleNormal="70" workbookViewId="0">
      <selection activeCell="D2" sqref="D2"/>
    </sheetView>
  </sheetViews>
  <sheetFormatPr defaultRowHeight="14.6"/>
  <cols>
    <col min="8" max="11" width="19.765625" customWidth="1"/>
    <col min="12" max="17" width="0" hidden="1" customWidth="1"/>
    <col min="18" max="18" width="13.53515625" customWidth="1"/>
  </cols>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280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ht="15" customHeight="1">
      <c r="A4" s="19"/>
      <c r="B4" s="21"/>
      <c r="C4" s="21"/>
      <c r="D4" s="21"/>
      <c r="E4" s="21"/>
      <c r="F4" s="24"/>
      <c r="G4" s="24"/>
      <c r="H4" s="48"/>
      <c r="I4" s="48"/>
      <c r="J4" s="48"/>
      <c r="K4" s="48"/>
      <c r="L4" s="48"/>
      <c r="M4" s="48"/>
      <c r="N4" s="48"/>
      <c r="O4" s="48"/>
      <c r="P4" s="48"/>
      <c r="Q4" s="48"/>
      <c r="R4" s="24"/>
      <c r="S4" s="48"/>
      <c r="T4" s="24"/>
      <c r="U4" s="24"/>
      <c r="V4" s="24"/>
      <c r="W4" s="24"/>
      <c r="X4" s="24"/>
      <c r="Y4" s="24"/>
      <c r="Z4" s="24"/>
      <c r="AA4" s="24"/>
      <c r="AB4" s="24"/>
      <c r="AC4" s="24"/>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ht="15" customHeight="1">
      <c r="A5" s="19"/>
      <c r="B5" s="21"/>
      <c r="C5" s="21"/>
      <c r="D5" s="21"/>
      <c r="E5" s="21"/>
      <c r="F5" s="24"/>
      <c r="G5" s="25"/>
      <c r="H5" s="43"/>
      <c r="I5" s="43"/>
      <c r="J5" s="43"/>
      <c r="K5" s="43"/>
      <c r="L5" s="43"/>
      <c r="M5" s="43"/>
      <c r="N5" s="43"/>
      <c r="O5" s="43"/>
      <c r="P5" s="43"/>
      <c r="Q5" s="43"/>
      <c r="R5" s="25"/>
      <c r="S5" s="43"/>
      <c r="T5" s="25"/>
      <c r="U5" s="25"/>
      <c r="V5" s="25"/>
      <c r="W5" s="25"/>
      <c r="X5" s="25"/>
      <c r="Y5" s="25"/>
      <c r="Z5" s="25"/>
      <c r="AA5" s="25"/>
      <c r="AB5" s="25"/>
      <c r="AC5" s="24"/>
      <c r="AD5" s="191"/>
      <c r="AE5" s="191"/>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ht="14.6" customHeight="1">
      <c r="A6" s="19"/>
      <c r="B6" s="21"/>
      <c r="C6" s="21"/>
      <c r="D6" s="21"/>
      <c r="E6" s="21"/>
      <c r="F6" s="24"/>
      <c r="G6" s="25"/>
      <c r="H6" s="201" t="s">
        <v>323</v>
      </c>
      <c r="I6" s="202"/>
      <c r="J6" s="202"/>
      <c r="K6" s="202"/>
      <c r="L6" s="202"/>
      <c r="M6" s="202"/>
      <c r="N6" s="202"/>
      <c r="O6" s="202"/>
      <c r="P6" s="202"/>
      <c r="Q6" s="202"/>
      <c r="R6" s="202"/>
      <c r="S6" s="202"/>
      <c r="T6" s="200"/>
      <c r="U6" s="200"/>
      <c r="V6" s="200"/>
      <c r="W6" s="200"/>
      <c r="X6" s="200"/>
      <c r="Y6" s="200"/>
      <c r="Z6" s="200"/>
      <c r="AA6" s="25"/>
      <c r="AB6" s="25"/>
      <c r="AC6" s="24"/>
      <c r="AD6" s="191"/>
      <c r="AE6" s="191"/>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c r="A7" s="21"/>
      <c r="B7" s="21"/>
      <c r="C7" s="21"/>
      <c r="D7" s="21"/>
      <c r="E7" s="21"/>
      <c r="F7" s="24"/>
      <c r="G7" s="25"/>
      <c r="H7" s="203"/>
      <c r="I7" s="203"/>
      <c r="J7" s="203"/>
      <c r="K7" s="203"/>
      <c r="L7" s="203"/>
      <c r="M7" s="203"/>
      <c r="N7" s="203"/>
      <c r="O7" s="203"/>
      <c r="P7" s="203"/>
      <c r="Q7" s="203"/>
      <c r="R7" s="203"/>
      <c r="S7" s="203"/>
      <c r="T7" s="200"/>
      <c r="U7" s="200"/>
      <c r="V7" s="200"/>
      <c r="W7" s="200"/>
      <c r="X7" s="200"/>
      <c r="Y7" s="200"/>
      <c r="Z7" s="200"/>
      <c r="AA7" s="25"/>
      <c r="AB7" s="25"/>
      <c r="AC7" s="24"/>
      <c r="AD7" s="191"/>
      <c r="AE7" s="191"/>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ht="33.549999999999997" customHeight="1">
      <c r="A8" s="21"/>
      <c r="B8" s="21"/>
      <c r="C8" s="21"/>
      <c r="D8" s="21"/>
      <c r="E8" s="21"/>
      <c r="F8" s="24"/>
      <c r="G8" s="25"/>
      <c r="H8" s="196" t="s">
        <v>276</v>
      </c>
      <c r="I8" s="197" t="s">
        <v>277</v>
      </c>
      <c r="J8" s="197" t="s">
        <v>278</v>
      </c>
      <c r="K8" s="197" t="s">
        <v>279</v>
      </c>
      <c r="L8" s="193" t="s">
        <v>70</v>
      </c>
      <c r="M8" s="193" t="s">
        <v>71</v>
      </c>
      <c r="N8" s="193" t="s">
        <v>72</v>
      </c>
      <c r="O8" s="193" t="s">
        <v>73</v>
      </c>
      <c r="P8" s="193" t="s">
        <v>74</v>
      </c>
      <c r="Q8" s="193" t="s">
        <v>75</v>
      </c>
      <c r="R8" s="194" t="s">
        <v>281</v>
      </c>
      <c r="S8" s="195" t="s">
        <v>148</v>
      </c>
      <c r="T8" s="25"/>
      <c r="U8" s="198" t="s">
        <v>10</v>
      </c>
      <c r="V8" s="199"/>
      <c r="W8" s="199"/>
      <c r="X8" s="199"/>
      <c r="Y8" s="199"/>
      <c r="Z8" s="199"/>
      <c r="AA8" s="199"/>
      <c r="AB8" s="25"/>
      <c r="AC8" s="24"/>
      <c r="AD8" s="191"/>
      <c r="AE8" s="191"/>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ht="15.9">
      <c r="A9" s="21"/>
      <c r="B9" s="21"/>
      <c r="C9" s="21"/>
      <c r="D9" s="21"/>
      <c r="E9" s="21"/>
      <c r="F9" s="24"/>
      <c r="G9" s="192"/>
      <c r="H9" s="77"/>
      <c r="I9" s="77"/>
      <c r="J9" s="77"/>
      <c r="K9" s="77"/>
      <c r="L9" s="107">
        <v>1</v>
      </c>
      <c r="M9" s="107">
        <v>2</v>
      </c>
      <c r="N9" s="107">
        <v>3</v>
      </c>
      <c r="O9" s="107">
        <v>4</v>
      </c>
      <c r="P9" s="107">
        <v>5</v>
      </c>
      <c r="Q9" s="107">
        <v>6</v>
      </c>
      <c r="R9" s="95" t="s">
        <v>282</v>
      </c>
      <c r="S9" s="96"/>
      <c r="T9" s="25"/>
      <c r="U9" s="189" t="s">
        <v>149</v>
      </c>
      <c r="V9" s="189"/>
      <c r="W9" s="189"/>
      <c r="X9" s="189"/>
      <c r="Y9" s="189"/>
      <c r="Z9" s="189"/>
      <c r="AA9" s="189"/>
      <c r="AB9" s="93"/>
      <c r="AC9" s="24"/>
      <c r="AD9" s="191"/>
      <c r="AE9" s="191"/>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ht="15.75" customHeight="1">
      <c r="A10" s="21"/>
      <c r="B10" s="21"/>
      <c r="C10" s="21"/>
      <c r="D10" s="21"/>
      <c r="E10" s="21"/>
      <c r="F10" s="24"/>
      <c r="G10" s="192"/>
      <c r="H10" s="77"/>
      <c r="I10" s="77"/>
      <c r="J10" s="77"/>
      <c r="K10" s="77"/>
      <c r="L10" s="107">
        <v>1</v>
      </c>
      <c r="M10" s="107">
        <v>2</v>
      </c>
      <c r="N10" s="107">
        <v>3</v>
      </c>
      <c r="O10" s="107">
        <v>4</v>
      </c>
      <c r="P10" s="107">
        <v>5</v>
      </c>
      <c r="Q10" s="107">
        <v>6</v>
      </c>
      <c r="R10" s="95" t="s">
        <v>283</v>
      </c>
      <c r="S10" s="98"/>
      <c r="T10" s="25"/>
      <c r="U10" s="190">
        <v>2</v>
      </c>
      <c r="V10" s="190"/>
      <c r="W10" s="190"/>
      <c r="X10" s="190"/>
      <c r="Y10" s="190"/>
      <c r="Z10" s="190"/>
      <c r="AA10" s="190"/>
      <c r="AB10" s="93"/>
      <c r="AC10" s="24"/>
      <c r="AD10" s="191"/>
      <c r="AE10" s="191"/>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ht="15.75" customHeight="1">
      <c r="A11" s="21"/>
      <c r="B11" s="21"/>
      <c r="C11" s="21"/>
      <c r="D11" s="21"/>
      <c r="E11" s="21"/>
      <c r="F11" s="24"/>
      <c r="G11" s="192"/>
      <c r="H11" s="77"/>
      <c r="I11" s="77"/>
      <c r="J11" s="77"/>
      <c r="K11" s="77"/>
      <c r="L11" s="107">
        <v>1</v>
      </c>
      <c r="M11" s="107">
        <v>2</v>
      </c>
      <c r="N11" s="107">
        <v>3</v>
      </c>
      <c r="O11" s="107">
        <v>4</v>
      </c>
      <c r="P11" s="107">
        <v>5</v>
      </c>
      <c r="Q11" s="107">
        <v>6</v>
      </c>
      <c r="R11" s="95" t="s">
        <v>284</v>
      </c>
      <c r="S11" s="98"/>
      <c r="T11" s="25"/>
      <c r="U11" s="190"/>
      <c r="V11" s="190"/>
      <c r="W11" s="190"/>
      <c r="X11" s="190"/>
      <c r="Y11" s="190"/>
      <c r="Z11" s="190"/>
      <c r="AA11" s="190"/>
      <c r="AB11" s="93"/>
      <c r="AC11" s="24"/>
      <c r="AD11" s="191"/>
      <c r="AE11" s="191"/>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1" customHeight="1">
      <c r="A12" s="21"/>
      <c r="B12" s="21"/>
      <c r="C12" s="187" t="s">
        <v>19</v>
      </c>
      <c r="D12" s="187"/>
      <c r="E12" s="187"/>
      <c r="F12" s="24"/>
      <c r="G12" s="192"/>
      <c r="H12" s="77"/>
      <c r="I12" s="77"/>
      <c r="J12" s="77"/>
      <c r="K12" s="77"/>
      <c r="L12" s="107">
        <v>1</v>
      </c>
      <c r="M12" s="107">
        <v>2</v>
      </c>
      <c r="N12" s="107">
        <v>3</v>
      </c>
      <c r="O12" s="107">
        <v>4</v>
      </c>
      <c r="P12" s="107">
        <v>5</v>
      </c>
      <c r="Q12" s="107">
        <v>6</v>
      </c>
      <c r="R12" s="95" t="s">
        <v>285</v>
      </c>
      <c r="S12" s="98"/>
      <c r="T12" s="25"/>
      <c r="U12" s="190"/>
      <c r="V12" s="190"/>
      <c r="W12" s="190"/>
      <c r="X12" s="190"/>
      <c r="Y12" s="190"/>
      <c r="Z12" s="190"/>
      <c r="AA12" s="190"/>
      <c r="AB12" s="93"/>
      <c r="AC12" s="24"/>
      <c r="AD12" s="191"/>
      <c r="AE12" s="191"/>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1" customHeight="1">
      <c r="A13" s="21"/>
      <c r="B13" s="21"/>
      <c r="C13" s="111"/>
      <c r="D13" s="112"/>
      <c r="E13" s="112"/>
      <c r="F13" s="24"/>
      <c r="G13" s="192"/>
      <c r="H13" s="77"/>
      <c r="I13" s="77"/>
      <c r="J13" s="77"/>
      <c r="K13" s="77"/>
      <c r="L13" s="107">
        <v>1</v>
      </c>
      <c r="M13" s="107">
        <v>2</v>
      </c>
      <c r="N13" s="107">
        <v>3</v>
      </c>
      <c r="O13" s="107">
        <v>4</v>
      </c>
      <c r="P13" s="107">
        <v>5</v>
      </c>
      <c r="Q13" s="107">
        <v>6</v>
      </c>
      <c r="R13" s="95" t="s">
        <v>286</v>
      </c>
      <c r="S13" s="98"/>
      <c r="T13" s="25"/>
      <c r="U13" s="190"/>
      <c r="V13" s="190"/>
      <c r="W13" s="190"/>
      <c r="X13" s="190"/>
      <c r="Y13" s="190"/>
      <c r="Z13" s="190"/>
      <c r="AA13" s="190"/>
      <c r="AB13" s="93"/>
      <c r="AC13" s="24"/>
      <c r="AD13" s="191"/>
      <c r="AE13" s="191"/>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111"/>
      <c r="D14" s="112"/>
      <c r="E14" s="112"/>
      <c r="F14" s="24"/>
      <c r="G14" s="192"/>
      <c r="H14" s="77"/>
      <c r="I14" s="77"/>
      <c r="J14" s="77"/>
      <c r="K14" s="77"/>
      <c r="L14" s="107">
        <v>1</v>
      </c>
      <c r="M14" s="107">
        <v>2</v>
      </c>
      <c r="N14" s="107">
        <v>3</v>
      </c>
      <c r="O14" s="107">
        <v>4</v>
      </c>
      <c r="P14" s="107">
        <v>5</v>
      </c>
      <c r="Q14" s="107">
        <v>6</v>
      </c>
      <c r="R14" s="95" t="s">
        <v>287</v>
      </c>
      <c r="S14" s="98"/>
      <c r="T14" s="25"/>
      <c r="U14" s="99"/>
      <c r="V14" s="99"/>
      <c r="W14" s="99"/>
      <c r="X14" s="25"/>
      <c r="Y14" s="46"/>
      <c r="Z14" s="46"/>
      <c r="AA14" s="46"/>
      <c r="AB14" s="25"/>
      <c r="AC14" s="24"/>
      <c r="AD14" s="191"/>
      <c r="AE14" s="191"/>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88" t="s">
        <v>21</v>
      </c>
      <c r="D15" s="188"/>
      <c r="E15" s="188"/>
      <c r="F15" s="24"/>
      <c r="G15" s="192"/>
      <c r="H15" s="77"/>
      <c r="I15" s="77"/>
      <c r="J15" s="77"/>
      <c r="K15" s="77"/>
      <c r="L15" s="107">
        <v>1</v>
      </c>
      <c r="M15" s="107">
        <v>2</v>
      </c>
      <c r="N15" s="107">
        <v>3</v>
      </c>
      <c r="O15" s="107">
        <v>4</v>
      </c>
      <c r="P15" s="107">
        <v>5</v>
      </c>
      <c r="Q15" s="107">
        <v>6</v>
      </c>
      <c r="R15" s="95" t="s">
        <v>288</v>
      </c>
      <c r="S15" s="98"/>
      <c r="T15" s="25"/>
      <c r="U15" s="25"/>
      <c r="V15" s="25"/>
      <c r="W15" s="25"/>
      <c r="X15" s="25"/>
      <c r="Y15" s="46"/>
      <c r="Z15" s="46"/>
      <c r="AA15" s="46"/>
      <c r="AB15" s="25"/>
      <c r="AC15" s="24"/>
      <c r="AD15" s="191"/>
      <c r="AE15" s="191"/>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108">
        <v>0</v>
      </c>
      <c r="D16" s="108"/>
      <c r="E16" s="108"/>
      <c r="F16" s="24"/>
      <c r="G16" s="192"/>
      <c r="H16" s="77"/>
      <c r="I16" s="77"/>
      <c r="J16" s="77"/>
      <c r="K16" s="77"/>
      <c r="L16" s="107">
        <v>1</v>
      </c>
      <c r="M16" s="107">
        <v>2</v>
      </c>
      <c r="N16" s="107">
        <v>3</v>
      </c>
      <c r="O16" s="107">
        <v>4</v>
      </c>
      <c r="P16" s="107">
        <v>5</v>
      </c>
      <c r="Q16" s="107">
        <v>6</v>
      </c>
      <c r="R16" s="95" t="s">
        <v>289</v>
      </c>
      <c r="S16" s="98"/>
      <c r="T16" s="25"/>
      <c r="U16" s="25"/>
      <c r="V16" s="25"/>
      <c r="W16" s="25"/>
      <c r="X16" s="25"/>
      <c r="Y16" s="46"/>
      <c r="Z16" s="46"/>
      <c r="AA16" s="46"/>
      <c r="AB16" s="25"/>
      <c r="AC16" s="24"/>
      <c r="AD16" s="191"/>
      <c r="AE16" s="191"/>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108">
        <v>3.7146611989020668</v>
      </c>
      <c r="D17" s="108"/>
      <c r="E17" s="108"/>
      <c r="F17" s="24"/>
      <c r="G17" s="192"/>
      <c r="H17" s="77"/>
      <c r="I17" s="77"/>
      <c r="J17" s="77"/>
      <c r="K17" s="77"/>
      <c r="L17" s="107">
        <v>1</v>
      </c>
      <c r="M17" s="107">
        <v>2</v>
      </c>
      <c r="N17" s="107">
        <v>3</v>
      </c>
      <c r="O17" s="107">
        <v>4</v>
      </c>
      <c r="P17" s="107">
        <v>5</v>
      </c>
      <c r="Q17" s="107">
        <v>6</v>
      </c>
      <c r="R17" s="95" t="s">
        <v>290</v>
      </c>
      <c r="S17" s="98"/>
      <c r="T17" s="25"/>
      <c r="U17" s="25"/>
      <c r="V17" s="25"/>
      <c r="W17" s="25"/>
      <c r="X17" s="25"/>
      <c r="Y17" s="25"/>
      <c r="Z17" s="25"/>
      <c r="AA17" s="25"/>
      <c r="AB17" s="25"/>
      <c r="AC17" s="24"/>
      <c r="AD17" s="191"/>
      <c r="AE17" s="191"/>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19.75">
      <c r="A18" s="21"/>
      <c r="B18" s="21"/>
      <c r="C18" s="188" t="s">
        <v>23</v>
      </c>
      <c r="D18" s="188"/>
      <c r="E18" s="188"/>
      <c r="F18" s="24"/>
      <c r="G18" s="192"/>
      <c r="H18" s="77"/>
      <c r="I18" s="77"/>
      <c r="J18" s="77"/>
      <c r="K18" s="77"/>
      <c r="L18" s="107">
        <v>1</v>
      </c>
      <c r="M18" s="107">
        <v>2</v>
      </c>
      <c r="N18" s="107">
        <v>3</v>
      </c>
      <c r="O18" s="107">
        <v>4</v>
      </c>
      <c r="P18" s="107">
        <v>5</v>
      </c>
      <c r="Q18" s="107">
        <v>6</v>
      </c>
      <c r="R18" s="95" t="s">
        <v>291</v>
      </c>
      <c r="S18" s="98"/>
      <c r="T18" s="25"/>
      <c r="U18" s="204" t="s">
        <v>324</v>
      </c>
      <c r="V18" s="204"/>
      <c r="W18" s="204"/>
      <c r="X18" s="204"/>
      <c r="Y18" s="204"/>
      <c r="Z18" s="204"/>
      <c r="AA18" s="204"/>
      <c r="AB18" s="25"/>
      <c r="AC18" s="24"/>
      <c r="AD18" s="191"/>
      <c r="AE18" s="191"/>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19.75">
      <c r="A19" s="21"/>
      <c r="B19" s="21"/>
      <c r="C19" s="108"/>
      <c r="D19" s="108"/>
      <c r="E19" s="108"/>
      <c r="F19" s="24"/>
      <c r="G19" s="192"/>
      <c r="H19" s="77"/>
      <c r="I19" s="77"/>
      <c r="J19" s="77"/>
      <c r="K19" s="77"/>
      <c r="L19" s="107">
        <v>1</v>
      </c>
      <c r="M19" s="107">
        <v>2</v>
      </c>
      <c r="N19" s="107">
        <v>3</v>
      </c>
      <c r="O19" s="107">
        <v>4</v>
      </c>
      <c r="P19" s="107">
        <v>5</v>
      </c>
      <c r="Q19" s="107">
        <v>6</v>
      </c>
      <c r="R19" s="95" t="s">
        <v>292</v>
      </c>
      <c r="S19" s="98"/>
      <c r="T19" s="25"/>
      <c r="U19" s="204"/>
      <c r="V19" s="204"/>
      <c r="W19" s="204"/>
      <c r="X19" s="204"/>
      <c r="Y19" s="204"/>
      <c r="Z19" s="204"/>
      <c r="AA19" s="204"/>
      <c r="AB19" s="25"/>
      <c r="AC19" s="24"/>
      <c r="AD19" s="191"/>
      <c r="AE19" s="191"/>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20.25" customHeight="1">
      <c r="A20" s="21"/>
      <c r="B20" s="21"/>
      <c r="C20" s="108"/>
      <c r="D20" s="108"/>
      <c r="E20" s="108"/>
      <c r="F20" s="24"/>
      <c r="G20" s="192"/>
      <c r="H20" s="77"/>
      <c r="I20" s="77"/>
      <c r="J20" s="77"/>
      <c r="K20" s="77"/>
      <c r="L20" s="107">
        <v>1</v>
      </c>
      <c r="M20" s="107">
        <v>2</v>
      </c>
      <c r="N20" s="107">
        <v>3</v>
      </c>
      <c r="O20" s="107">
        <v>4</v>
      </c>
      <c r="P20" s="107">
        <v>5</v>
      </c>
      <c r="Q20" s="107">
        <v>6</v>
      </c>
      <c r="R20" s="95" t="s">
        <v>293</v>
      </c>
      <c r="S20" s="98"/>
      <c r="T20" s="25"/>
      <c r="U20" s="109"/>
      <c r="V20" s="109" t="s">
        <v>150</v>
      </c>
      <c r="W20" s="110" t="s">
        <v>151</v>
      </c>
      <c r="X20" s="110"/>
      <c r="Y20" s="107">
        <f>BM68</f>
        <v>0</v>
      </c>
      <c r="Z20" s="109"/>
      <c r="AA20" s="25"/>
      <c r="AB20" s="25"/>
      <c r="AC20" s="24"/>
      <c r="AD20" s="191"/>
      <c r="AE20" s="191"/>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20.25" customHeight="1">
      <c r="A21" s="21"/>
      <c r="B21" s="21"/>
      <c r="C21" s="188" t="s">
        <v>24</v>
      </c>
      <c r="D21" s="188"/>
      <c r="E21" s="188"/>
      <c r="F21" s="24"/>
      <c r="G21" s="192"/>
      <c r="H21" s="77"/>
      <c r="I21" s="77"/>
      <c r="J21" s="77"/>
      <c r="K21" s="77"/>
      <c r="L21" s="107">
        <v>1</v>
      </c>
      <c r="M21" s="107">
        <v>2</v>
      </c>
      <c r="N21" s="107">
        <v>3</v>
      </c>
      <c r="O21" s="107">
        <v>4</v>
      </c>
      <c r="P21" s="107">
        <v>5</v>
      </c>
      <c r="Q21" s="107">
        <v>6</v>
      </c>
      <c r="R21" s="95" t="s">
        <v>294</v>
      </c>
      <c r="S21" s="98"/>
      <c r="T21" s="25"/>
      <c r="U21" s="109"/>
      <c r="V21" s="109" t="s">
        <v>152</v>
      </c>
      <c r="W21" s="110" t="s">
        <v>151</v>
      </c>
      <c r="X21" s="110"/>
      <c r="Y21" s="107">
        <f>BM72</f>
        <v>0</v>
      </c>
      <c r="Z21" s="109"/>
      <c r="AA21" s="25"/>
      <c r="AB21" s="25"/>
      <c r="AC21" s="24"/>
      <c r="AD21" s="191"/>
      <c r="AE21" s="191"/>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108"/>
      <c r="D22" s="108"/>
      <c r="E22" s="108"/>
      <c r="F22" s="24"/>
      <c r="G22" s="192"/>
      <c r="H22" s="77"/>
      <c r="I22" s="77"/>
      <c r="J22" s="77"/>
      <c r="K22" s="77"/>
      <c r="L22" s="107">
        <v>1</v>
      </c>
      <c r="M22" s="107">
        <v>2</v>
      </c>
      <c r="N22" s="107">
        <v>3</v>
      </c>
      <c r="O22" s="107">
        <v>4</v>
      </c>
      <c r="P22" s="107">
        <v>5</v>
      </c>
      <c r="Q22" s="107">
        <v>6</v>
      </c>
      <c r="R22" s="95" t="s">
        <v>295</v>
      </c>
      <c r="S22" s="98"/>
      <c r="T22" s="25"/>
      <c r="U22" s="109"/>
      <c r="V22" s="109" t="s">
        <v>153</v>
      </c>
      <c r="W22" s="110" t="s">
        <v>151</v>
      </c>
      <c r="X22" s="110"/>
      <c r="Y22" s="107">
        <f>BM76</f>
        <v>0</v>
      </c>
      <c r="Z22" s="109"/>
      <c r="AA22" s="25"/>
      <c r="AB22" s="25"/>
      <c r="AC22" s="24"/>
      <c r="AD22" s="191"/>
      <c r="AE22" s="191"/>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19.75">
      <c r="A23" s="21"/>
      <c r="B23" s="21"/>
      <c r="C23" s="108"/>
      <c r="D23" s="108"/>
      <c r="E23" s="108"/>
      <c r="F23" s="24"/>
      <c r="G23" s="192"/>
      <c r="H23" s="77"/>
      <c r="I23" s="77"/>
      <c r="J23" s="77"/>
      <c r="K23" s="77"/>
      <c r="L23" s="107">
        <v>1</v>
      </c>
      <c r="M23" s="107">
        <v>2</v>
      </c>
      <c r="N23" s="107">
        <v>3</v>
      </c>
      <c r="O23" s="107">
        <v>4</v>
      </c>
      <c r="P23" s="107">
        <v>5</v>
      </c>
      <c r="Q23" s="107">
        <v>6</v>
      </c>
      <c r="R23" s="95" t="s">
        <v>296</v>
      </c>
      <c r="S23" s="98"/>
      <c r="T23" s="25"/>
      <c r="U23" s="109"/>
      <c r="V23" s="109" t="s">
        <v>154</v>
      </c>
      <c r="W23" s="110" t="s">
        <v>151</v>
      </c>
      <c r="X23" s="110"/>
      <c r="Y23" s="107">
        <f>BM80</f>
        <v>0</v>
      </c>
      <c r="Z23" s="109"/>
      <c r="AA23" s="25"/>
      <c r="AB23" s="25"/>
      <c r="AC23" s="24"/>
      <c r="AD23" s="191"/>
      <c r="AE23" s="191"/>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19.75">
      <c r="A24" s="21"/>
      <c r="B24" s="21"/>
      <c r="C24" s="188" t="s">
        <v>25</v>
      </c>
      <c r="D24" s="188"/>
      <c r="E24" s="188"/>
      <c r="F24" s="24"/>
      <c r="G24" s="192"/>
      <c r="H24" s="77"/>
      <c r="I24" s="77"/>
      <c r="J24" s="77"/>
      <c r="K24" s="77"/>
      <c r="L24" s="107">
        <v>1</v>
      </c>
      <c r="M24" s="107">
        <v>2</v>
      </c>
      <c r="N24" s="107">
        <v>3</v>
      </c>
      <c r="O24" s="107">
        <v>4</v>
      </c>
      <c r="P24" s="107">
        <v>5</v>
      </c>
      <c r="Q24" s="107">
        <v>6</v>
      </c>
      <c r="R24" s="95" t="s">
        <v>297</v>
      </c>
      <c r="S24" s="98"/>
      <c r="T24" s="25"/>
      <c r="U24" s="109"/>
      <c r="V24" s="109" t="s">
        <v>155</v>
      </c>
      <c r="W24" s="110" t="s">
        <v>151</v>
      </c>
      <c r="X24" s="110"/>
      <c r="Y24" s="107">
        <f>BM82</f>
        <v>0</v>
      </c>
      <c r="Z24" s="109"/>
      <c r="AA24" s="25"/>
      <c r="AB24" s="25"/>
      <c r="AC24" s="24"/>
      <c r="AD24" s="191"/>
      <c r="AE24" s="191"/>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19.75">
      <c r="A25" s="21"/>
      <c r="B25" s="21"/>
      <c r="C25" s="44"/>
      <c r="D25" s="44"/>
      <c r="E25" s="44"/>
      <c r="F25" s="24"/>
      <c r="G25" s="192"/>
      <c r="H25" s="77"/>
      <c r="I25" s="77"/>
      <c r="J25" s="77"/>
      <c r="K25" s="77"/>
      <c r="L25" s="107">
        <v>1</v>
      </c>
      <c r="M25" s="107">
        <v>2</v>
      </c>
      <c r="N25" s="107">
        <v>3</v>
      </c>
      <c r="O25" s="107">
        <v>4</v>
      </c>
      <c r="P25" s="107">
        <v>5</v>
      </c>
      <c r="Q25" s="107">
        <v>6</v>
      </c>
      <c r="R25" s="95" t="s">
        <v>298</v>
      </c>
      <c r="S25" s="98"/>
      <c r="T25" s="25"/>
      <c r="U25" s="109"/>
      <c r="V25" s="109" t="s">
        <v>156</v>
      </c>
      <c r="W25" s="110" t="s">
        <v>151</v>
      </c>
      <c r="X25" s="110"/>
      <c r="Y25" s="107">
        <f>BM86</f>
        <v>0</v>
      </c>
      <c r="Z25" s="109"/>
      <c r="AA25" s="25"/>
      <c r="AB25" s="25"/>
      <c r="AC25" s="24"/>
      <c r="AD25" s="191"/>
      <c r="AE25" s="191"/>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19.75">
      <c r="A26" s="21"/>
      <c r="B26" s="21"/>
      <c r="C26" s="44"/>
      <c r="D26" s="44"/>
      <c r="E26" s="44"/>
      <c r="F26" s="24"/>
      <c r="G26" s="192"/>
      <c r="H26" s="77"/>
      <c r="I26" s="77"/>
      <c r="J26" s="77"/>
      <c r="K26" s="77"/>
      <c r="L26" s="107">
        <v>1</v>
      </c>
      <c r="M26" s="107">
        <v>2</v>
      </c>
      <c r="N26" s="107">
        <v>3</v>
      </c>
      <c r="O26" s="107">
        <v>4</v>
      </c>
      <c r="P26" s="107">
        <v>5</v>
      </c>
      <c r="Q26" s="107">
        <v>6</v>
      </c>
      <c r="R26" s="95" t="s">
        <v>299</v>
      </c>
      <c r="S26" s="98"/>
      <c r="T26" s="25"/>
      <c r="U26" s="109"/>
      <c r="V26" s="109" t="s">
        <v>157</v>
      </c>
      <c r="W26" s="110" t="s">
        <v>151</v>
      </c>
      <c r="X26" s="110"/>
      <c r="Y26" s="107">
        <f>BM90</f>
        <v>0</v>
      </c>
      <c r="Z26" s="109"/>
      <c r="AA26" s="25"/>
      <c r="AB26" s="25"/>
      <c r="AC26" s="24"/>
      <c r="AD26" s="191"/>
      <c r="AE26" s="191"/>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19.75">
      <c r="A27" s="21"/>
      <c r="B27" s="21"/>
      <c r="C27" s="188" t="s">
        <v>26</v>
      </c>
      <c r="D27" s="188"/>
      <c r="E27" s="188"/>
      <c r="F27" s="24"/>
      <c r="G27" s="192"/>
      <c r="H27" s="77"/>
      <c r="I27" s="77"/>
      <c r="J27" s="77"/>
      <c r="K27" s="77"/>
      <c r="L27" s="107">
        <v>1</v>
      </c>
      <c r="M27" s="107">
        <v>2</v>
      </c>
      <c r="N27" s="107">
        <v>3</v>
      </c>
      <c r="O27" s="107">
        <v>4</v>
      </c>
      <c r="P27" s="107">
        <v>5</v>
      </c>
      <c r="Q27" s="107">
        <v>6</v>
      </c>
      <c r="R27" s="95" t="s">
        <v>300</v>
      </c>
      <c r="S27" s="98"/>
      <c r="T27" s="25"/>
      <c r="U27" s="109"/>
      <c r="V27" s="109" t="s">
        <v>158</v>
      </c>
      <c r="W27" s="110" t="s">
        <v>151</v>
      </c>
      <c r="X27" s="110"/>
      <c r="Y27" s="107">
        <f>BM96</f>
        <v>0</v>
      </c>
      <c r="Z27" s="109"/>
      <c r="AA27" s="25"/>
      <c r="AB27" s="25"/>
      <c r="AC27" s="24"/>
      <c r="AD27" s="191"/>
      <c r="AE27" s="191"/>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192"/>
      <c r="H28" s="77"/>
      <c r="I28" s="77"/>
      <c r="J28" s="77"/>
      <c r="K28" s="77"/>
      <c r="L28" s="107">
        <v>1</v>
      </c>
      <c r="M28" s="107">
        <v>2</v>
      </c>
      <c r="N28" s="107">
        <v>3</v>
      </c>
      <c r="O28" s="107">
        <v>4</v>
      </c>
      <c r="P28" s="107">
        <v>5</v>
      </c>
      <c r="Q28" s="107">
        <v>6</v>
      </c>
      <c r="R28" s="95" t="s">
        <v>301</v>
      </c>
      <c r="S28" s="98"/>
      <c r="T28" s="25"/>
      <c r="U28" s="109"/>
      <c r="V28" s="109" t="s">
        <v>159</v>
      </c>
      <c r="W28" s="110" t="s">
        <v>151</v>
      </c>
      <c r="X28" s="110"/>
      <c r="Y28" s="107">
        <f>BM100</f>
        <v>0</v>
      </c>
      <c r="Z28" s="109"/>
      <c r="AA28" s="25"/>
      <c r="AB28" s="25"/>
      <c r="AC28" s="24"/>
      <c r="AD28" s="191"/>
      <c r="AE28" s="191"/>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192"/>
      <c r="H29" s="77"/>
      <c r="I29" s="77"/>
      <c r="J29" s="77"/>
      <c r="K29" s="77"/>
      <c r="L29" s="107">
        <v>1</v>
      </c>
      <c r="M29" s="107">
        <v>2</v>
      </c>
      <c r="N29" s="107">
        <v>3</v>
      </c>
      <c r="O29" s="107">
        <v>4</v>
      </c>
      <c r="P29" s="107">
        <v>5</v>
      </c>
      <c r="Q29" s="107">
        <v>6</v>
      </c>
      <c r="R29" s="95" t="s">
        <v>302</v>
      </c>
      <c r="S29" s="98"/>
      <c r="T29" s="25"/>
      <c r="U29" s="109"/>
      <c r="V29" s="109" t="s">
        <v>160</v>
      </c>
      <c r="W29" s="110" t="s">
        <v>151</v>
      </c>
      <c r="X29" s="110"/>
      <c r="Y29" s="107">
        <f>BM104</f>
        <v>0</v>
      </c>
      <c r="Z29" s="109"/>
      <c r="AA29" s="25"/>
      <c r="AB29" s="25"/>
      <c r="AC29" s="24"/>
      <c r="AD29" s="191"/>
      <c r="AE29" s="191"/>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192"/>
      <c r="H30" s="77"/>
      <c r="I30" s="77"/>
      <c r="J30" s="77"/>
      <c r="K30" s="77"/>
      <c r="L30" s="107">
        <v>1</v>
      </c>
      <c r="M30" s="107">
        <v>2</v>
      </c>
      <c r="N30" s="107">
        <v>3</v>
      </c>
      <c r="O30" s="107">
        <v>4</v>
      </c>
      <c r="P30" s="107">
        <v>5</v>
      </c>
      <c r="Q30" s="107">
        <v>6</v>
      </c>
      <c r="R30" s="95" t="s">
        <v>303</v>
      </c>
      <c r="S30" s="98"/>
      <c r="T30" s="25"/>
      <c r="U30" s="109"/>
      <c r="V30" s="109"/>
      <c r="W30" s="109"/>
      <c r="X30" s="109"/>
      <c r="Y30" s="109"/>
      <c r="Z30" s="109"/>
      <c r="AA30" s="25"/>
      <c r="AB30" s="25"/>
      <c r="AC30" s="24"/>
      <c r="AD30" s="191"/>
      <c r="AE30" s="191"/>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192"/>
      <c r="H31" s="77"/>
      <c r="I31" s="77"/>
      <c r="J31" s="77"/>
      <c r="K31" s="77"/>
      <c r="L31" s="107">
        <v>1</v>
      </c>
      <c r="M31" s="107">
        <v>2</v>
      </c>
      <c r="N31" s="107">
        <v>3</v>
      </c>
      <c r="O31" s="107">
        <v>4</v>
      </c>
      <c r="P31" s="107">
        <v>5</v>
      </c>
      <c r="Q31" s="107">
        <v>6</v>
      </c>
      <c r="R31" s="95" t="s">
        <v>304</v>
      </c>
      <c r="S31" s="98"/>
      <c r="T31" s="25"/>
      <c r="U31" s="109"/>
      <c r="V31" s="109"/>
      <c r="W31" s="109"/>
      <c r="X31" s="109"/>
      <c r="Y31" s="109"/>
      <c r="Z31" s="109"/>
      <c r="AA31" s="25"/>
      <c r="AB31" s="25"/>
      <c r="AC31" s="24"/>
      <c r="AD31" s="191"/>
      <c r="AE31" s="191"/>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192"/>
      <c r="H32" s="77"/>
      <c r="I32" s="77"/>
      <c r="J32" s="77"/>
      <c r="K32" s="77"/>
      <c r="L32" s="107">
        <v>1</v>
      </c>
      <c r="M32" s="107">
        <v>2</v>
      </c>
      <c r="N32" s="107">
        <v>3</v>
      </c>
      <c r="O32" s="107">
        <v>4</v>
      </c>
      <c r="P32" s="107">
        <v>5</v>
      </c>
      <c r="Q32" s="107">
        <v>6</v>
      </c>
      <c r="R32" s="95" t="s">
        <v>305</v>
      </c>
      <c r="S32" s="98"/>
      <c r="T32" s="25"/>
      <c r="U32" s="43"/>
      <c r="V32" s="43"/>
      <c r="W32" s="43"/>
      <c r="X32" s="43"/>
      <c r="Y32" s="43"/>
      <c r="Z32" s="43"/>
      <c r="AA32" s="43"/>
      <c r="AB32" s="43"/>
      <c r="AC32" s="48"/>
      <c r="AD32" s="48"/>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25"/>
      <c r="H33" s="97"/>
      <c r="I33" s="77"/>
      <c r="J33" s="77"/>
      <c r="K33" s="77"/>
      <c r="L33" s="107">
        <v>1</v>
      </c>
      <c r="M33" s="107">
        <v>2</v>
      </c>
      <c r="N33" s="107">
        <v>3</v>
      </c>
      <c r="O33" s="107">
        <v>4</v>
      </c>
      <c r="P33" s="107">
        <v>5</v>
      </c>
      <c r="Q33" s="107">
        <v>6</v>
      </c>
      <c r="R33" s="95" t="s">
        <v>306</v>
      </c>
      <c r="S33" s="98"/>
      <c r="T33" s="25"/>
      <c r="U33" s="43"/>
      <c r="V33" s="43"/>
      <c r="W33" s="43"/>
      <c r="X33" s="43"/>
      <c r="Y33" s="43"/>
      <c r="Z33" s="43"/>
      <c r="AA33" s="43"/>
      <c r="AB33" s="43"/>
      <c r="AC33" s="48"/>
      <c r="AD33" s="48"/>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25"/>
      <c r="H34" s="97"/>
      <c r="I34" s="77"/>
      <c r="J34" s="77"/>
      <c r="K34" s="77"/>
      <c r="L34" s="107">
        <v>1</v>
      </c>
      <c r="M34" s="107">
        <v>2</v>
      </c>
      <c r="N34" s="107">
        <v>3</v>
      </c>
      <c r="O34" s="107">
        <v>4</v>
      </c>
      <c r="P34" s="107">
        <v>5</v>
      </c>
      <c r="Q34" s="107">
        <v>6</v>
      </c>
      <c r="R34" s="95" t="s">
        <v>307</v>
      </c>
      <c r="S34" s="98"/>
      <c r="T34" s="25"/>
      <c r="U34" s="25"/>
      <c r="V34" s="25"/>
      <c r="W34" s="25"/>
      <c r="X34" s="25"/>
      <c r="Y34" s="25"/>
      <c r="Z34" s="25"/>
      <c r="AA34" s="25"/>
      <c r="AB34" s="25"/>
      <c r="AC34" s="24"/>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25"/>
      <c r="H35" s="97"/>
      <c r="I35" s="77"/>
      <c r="J35" s="77"/>
      <c r="K35" s="77"/>
      <c r="L35" s="107">
        <v>1</v>
      </c>
      <c r="M35" s="107">
        <v>2</v>
      </c>
      <c r="N35" s="107">
        <v>3</v>
      </c>
      <c r="O35" s="107">
        <v>4</v>
      </c>
      <c r="P35" s="107">
        <v>5</v>
      </c>
      <c r="Q35" s="107">
        <v>6</v>
      </c>
      <c r="R35" s="95" t="s">
        <v>308</v>
      </c>
      <c r="S35" s="98"/>
      <c r="T35" s="25"/>
      <c r="U35" s="25"/>
      <c r="V35" s="25"/>
      <c r="W35" s="25"/>
      <c r="X35" s="25"/>
      <c r="Y35" s="25"/>
      <c r="Z35" s="25"/>
      <c r="AA35" s="25"/>
      <c r="AB35" s="25"/>
      <c r="AC35" s="24"/>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25"/>
      <c r="H36" s="97"/>
      <c r="I36" s="77"/>
      <c r="J36" s="77"/>
      <c r="K36" s="77"/>
      <c r="L36" s="107">
        <v>1</v>
      </c>
      <c r="M36" s="107">
        <v>2</v>
      </c>
      <c r="N36" s="107">
        <v>3</v>
      </c>
      <c r="O36" s="107">
        <v>4</v>
      </c>
      <c r="P36" s="107">
        <v>5</v>
      </c>
      <c r="Q36" s="107">
        <v>6</v>
      </c>
      <c r="R36" s="95" t="s">
        <v>309</v>
      </c>
      <c r="S36" s="98"/>
      <c r="T36" s="25"/>
      <c r="U36" s="43"/>
      <c r="V36" s="43"/>
      <c r="W36" s="43"/>
      <c r="X36" s="43"/>
      <c r="Y36" s="43"/>
      <c r="Z36" s="25"/>
      <c r="AA36" s="25"/>
      <c r="AB36" s="25"/>
      <c r="AC36" s="24"/>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25"/>
      <c r="H37" s="97"/>
      <c r="I37" s="77"/>
      <c r="J37" s="77"/>
      <c r="K37" s="77"/>
      <c r="L37" s="107">
        <v>1</v>
      </c>
      <c r="M37" s="107">
        <v>2</v>
      </c>
      <c r="N37" s="107">
        <v>3</v>
      </c>
      <c r="O37" s="107">
        <v>4</v>
      </c>
      <c r="P37" s="107">
        <v>5</v>
      </c>
      <c r="Q37" s="107">
        <v>6</v>
      </c>
      <c r="R37" s="95" t="s">
        <v>310</v>
      </c>
      <c r="S37" s="98"/>
      <c r="T37" s="25"/>
      <c r="U37" s="43"/>
      <c r="V37" s="25"/>
      <c r="W37" s="25"/>
      <c r="X37" s="25"/>
      <c r="Y37" s="25"/>
      <c r="Z37" s="25"/>
      <c r="AA37" s="25"/>
      <c r="AB37" s="25"/>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25"/>
      <c r="H38" s="97"/>
      <c r="I38" s="77"/>
      <c r="J38" s="77"/>
      <c r="K38" s="77"/>
      <c r="L38" s="107">
        <v>1</v>
      </c>
      <c r="M38" s="107">
        <v>2</v>
      </c>
      <c r="N38" s="107">
        <v>3</v>
      </c>
      <c r="O38" s="107">
        <v>4</v>
      </c>
      <c r="P38" s="107">
        <v>5</v>
      </c>
      <c r="Q38" s="107">
        <v>6</v>
      </c>
      <c r="R38" s="95" t="s">
        <v>311</v>
      </c>
      <c r="S38" s="98"/>
      <c r="T38" s="25"/>
      <c r="U38" s="43"/>
      <c r="V38" s="25"/>
      <c r="W38" s="25"/>
      <c r="X38" s="105"/>
      <c r="Y38" s="105"/>
      <c r="Z38" s="25"/>
      <c r="AA38" s="25"/>
      <c r="AB38" s="25"/>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25"/>
      <c r="H39" s="97"/>
      <c r="I39" s="77"/>
      <c r="J39" s="77"/>
      <c r="K39" s="77"/>
      <c r="L39" s="107">
        <v>1</v>
      </c>
      <c r="M39" s="107">
        <v>2</v>
      </c>
      <c r="N39" s="107">
        <v>3</v>
      </c>
      <c r="O39" s="107">
        <v>4</v>
      </c>
      <c r="P39" s="107">
        <v>5</v>
      </c>
      <c r="Q39" s="107">
        <v>6</v>
      </c>
      <c r="R39" s="95" t="s">
        <v>312</v>
      </c>
      <c r="S39" s="98"/>
      <c r="T39" s="25"/>
      <c r="U39" s="43"/>
      <c r="V39" s="25"/>
      <c r="W39" s="25"/>
      <c r="X39" s="105"/>
      <c r="Y39" s="105"/>
      <c r="Z39" s="25"/>
      <c r="AA39" s="25"/>
      <c r="AB39" s="25"/>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25"/>
      <c r="H40" s="97"/>
      <c r="I40" s="77"/>
      <c r="J40" s="77"/>
      <c r="K40" s="77"/>
      <c r="L40" s="107">
        <v>1</v>
      </c>
      <c r="M40" s="107">
        <v>2</v>
      </c>
      <c r="N40" s="107">
        <v>3</v>
      </c>
      <c r="O40" s="107">
        <v>4</v>
      </c>
      <c r="P40" s="107">
        <v>5</v>
      </c>
      <c r="Q40" s="107">
        <v>6</v>
      </c>
      <c r="R40" s="95" t="s">
        <v>313</v>
      </c>
      <c r="S40" s="98"/>
      <c r="T40" s="25"/>
      <c r="U40" s="43"/>
      <c r="V40" s="25"/>
      <c r="W40" s="25"/>
      <c r="X40" s="105"/>
      <c r="Y40" s="105"/>
      <c r="Z40" s="25"/>
      <c r="AA40" s="25"/>
      <c r="AB40" s="25"/>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25"/>
      <c r="H41" s="97"/>
      <c r="I41" s="77"/>
      <c r="J41" s="77"/>
      <c r="K41" s="77"/>
      <c r="L41" s="107">
        <v>1</v>
      </c>
      <c r="M41" s="107">
        <v>2</v>
      </c>
      <c r="N41" s="107">
        <v>3</v>
      </c>
      <c r="O41" s="107">
        <v>4</v>
      </c>
      <c r="P41" s="107">
        <v>5</v>
      </c>
      <c r="Q41" s="107">
        <v>6</v>
      </c>
      <c r="R41" s="95" t="s">
        <v>314</v>
      </c>
      <c r="S41" s="98"/>
      <c r="T41" s="25"/>
      <c r="U41" s="43"/>
      <c r="V41" s="25"/>
      <c r="W41" s="25"/>
      <c r="X41" s="25"/>
      <c r="Y41" s="43"/>
      <c r="Z41" s="25"/>
      <c r="AA41" s="25"/>
      <c r="AB41" s="25"/>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25"/>
      <c r="H42" s="97"/>
      <c r="I42" s="77"/>
      <c r="J42" s="77"/>
      <c r="K42" s="77"/>
      <c r="L42" s="107">
        <v>1</v>
      </c>
      <c r="M42" s="107">
        <v>2</v>
      </c>
      <c r="N42" s="107">
        <v>3</v>
      </c>
      <c r="O42" s="107">
        <v>4</v>
      </c>
      <c r="P42" s="107">
        <v>5</v>
      </c>
      <c r="Q42" s="107">
        <v>6</v>
      </c>
      <c r="R42" s="95" t="s">
        <v>315</v>
      </c>
      <c r="S42" s="98"/>
      <c r="T42" s="25"/>
      <c r="U42" s="43"/>
      <c r="V42" s="25"/>
      <c r="W42" s="25"/>
      <c r="X42" s="25"/>
      <c r="Y42" s="43"/>
      <c r="Z42" s="25"/>
      <c r="AA42" s="25"/>
      <c r="AB42" s="25"/>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25"/>
      <c r="H43" s="97"/>
      <c r="I43" s="77"/>
      <c r="J43" s="77"/>
      <c r="K43" s="77"/>
      <c r="L43" s="107">
        <v>1</v>
      </c>
      <c r="M43" s="107">
        <v>2</v>
      </c>
      <c r="N43" s="107">
        <v>3</v>
      </c>
      <c r="O43" s="107">
        <v>4</v>
      </c>
      <c r="P43" s="107">
        <v>5</v>
      </c>
      <c r="Q43" s="107">
        <v>6</v>
      </c>
      <c r="R43" s="95" t="s">
        <v>316</v>
      </c>
      <c r="S43" s="98"/>
      <c r="T43" s="25"/>
      <c r="U43" s="43"/>
      <c r="V43" s="25"/>
      <c r="W43" s="25"/>
      <c r="X43" s="25"/>
      <c r="Y43" s="43"/>
      <c r="Z43" s="25"/>
      <c r="AA43" s="25"/>
      <c r="AB43" s="25"/>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25"/>
      <c r="H44" s="100"/>
      <c r="I44" s="43"/>
      <c r="J44" s="43"/>
      <c r="K44" s="43"/>
      <c r="L44" s="107">
        <v>1</v>
      </c>
      <c r="M44" s="107">
        <v>2</v>
      </c>
      <c r="N44" s="107">
        <v>3</v>
      </c>
      <c r="O44" s="107">
        <v>4</v>
      </c>
      <c r="P44" s="107">
        <v>5</v>
      </c>
      <c r="Q44" s="107">
        <v>6</v>
      </c>
      <c r="R44" s="95" t="s">
        <v>317</v>
      </c>
      <c r="S44" s="98"/>
      <c r="T44" s="25"/>
      <c r="U44" s="43"/>
      <c r="V44" s="25"/>
      <c r="W44" s="25"/>
      <c r="X44" s="25"/>
      <c r="Y44" s="43"/>
      <c r="Z44" s="25"/>
      <c r="AA44" s="25"/>
      <c r="AB44" s="25"/>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25"/>
      <c r="H45" s="100"/>
      <c r="I45" s="43"/>
      <c r="J45" s="43"/>
      <c r="K45" s="43"/>
      <c r="L45" s="107">
        <v>1</v>
      </c>
      <c r="M45" s="107">
        <v>2</v>
      </c>
      <c r="N45" s="107">
        <v>3</v>
      </c>
      <c r="O45" s="107">
        <v>4</v>
      </c>
      <c r="P45" s="107">
        <v>5</v>
      </c>
      <c r="Q45" s="107">
        <v>6</v>
      </c>
      <c r="R45" s="95" t="s">
        <v>318</v>
      </c>
      <c r="S45" s="98"/>
      <c r="T45" s="25"/>
      <c r="U45" s="43"/>
      <c r="V45" s="25"/>
      <c r="W45" s="25"/>
      <c r="X45" s="25"/>
      <c r="Y45" s="25"/>
      <c r="Z45" s="25"/>
      <c r="AA45" s="25"/>
      <c r="AB45" s="25"/>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25"/>
      <c r="H46" s="100"/>
      <c r="I46" s="43"/>
      <c r="J46" s="43"/>
      <c r="K46" s="43"/>
      <c r="L46" s="107">
        <v>1</v>
      </c>
      <c r="M46" s="107">
        <v>2</v>
      </c>
      <c r="N46" s="107">
        <v>3</v>
      </c>
      <c r="O46" s="107">
        <v>4</v>
      </c>
      <c r="P46" s="107">
        <v>5</v>
      </c>
      <c r="Q46" s="107">
        <v>6</v>
      </c>
      <c r="R46" s="95" t="s">
        <v>319</v>
      </c>
      <c r="S46" s="98"/>
      <c r="T46" s="25"/>
      <c r="U46" s="43"/>
      <c r="V46" s="25"/>
      <c r="W46" s="25"/>
      <c r="X46" s="25"/>
      <c r="Y46" s="25"/>
      <c r="Z46" s="25"/>
      <c r="AA46" s="25"/>
      <c r="AB46" s="25"/>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25"/>
      <c r="H47" s="100"/>
      <c r="I47" s="43"/>
      <c r="J47" s="43"/>
      <c r="K47" s="43"/>
      <c r="L47" s="107">
        <v>1</v>
      </c>
      <c r="M47" s="107">
        <v>2</v>
      </c>
      <c r="N47" s="107">
        <v>3</v>
      </c>
      <c r="O47" s="107">
        <v>4</v>
      </c>
      <c r="P47" s="107">
        <v>5</v>
      </c>
      <c r="Q47" s="107">
        <v>6</v>
      </c>
      <c r="R47" s="95" t="s">
        <v>320</v>
      </c>
      <c r="S47" s="98"/>
      <c r="T47" s="25"/>
      <c r="U47" s="25"/>
      <c r="V47" s="25"/>
      <c r="W47" s="25"/>
      <c r="X47" s="25"/>
      <c r="Y47" s="25"/>
      <c r="Z47" s="25"/>
      <c r="AA47" s="25"/>
      <c r="AB47" s="25"/>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25"/>
      <c r="H48" s="100"/>
      <c r="I48" s="43"/>
      <c r="J48" s="43"/>
      <c r="K48" s="43"/>
      <c r="L48" s="107">
        <v>1</v>
      </c>
      <c r="M48" s="107">
        <v>2</v>
      </c>
      <c r="N48" s="107">
        <v>3</v>
      </c>
      <c r="O48" s="107">
        <v>4</v>
      </c>
      <c r="P48" s="107">
        <v>5</v>
      </c>
      <c r="Q48" s="107">
        <v>6</v>
      </c>
      <c r="R48" s="95" t="s">
        <v>321</v>
      </c>
      <c r="S48" s="98"/>
      <c r="T48" s="25"/>
      <c r="U48" s="25"/>
      <c r="V48" s="25"/>
      <c r="W48" s="25"/>
      <c r="X48" s="25"/>
      <c r="Y48" s="25"/>
      <c r="Z48" s="25"/>
      <c r="AA48" s="25"/>
      <c r="AB48" s="25"/>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25"/>
      <c r="H49" s="100"/>
      <c r="I49" s="43"/>
      <c r="J49" s="43"/>
      <c r="K49" s="43"/>
      <c r="L49" s="107">
        <v>1</v>
      </c>
      <c r="M49" s="107">
        <v>2</v>
      </c>
      <c r="N49" s="107">
        <v>3</v>
      </c>
      <c r="O49" s="107">
        <v>4</v>
      </c>
      <c r="P49" s="107">
        <v>5</v>
      </c>
      <c r="Q49" s="107">
        <v>6</v>
      </c>
      <c r="R49" s="95" t="s">
        <v>322</v>
      </c>
      <c r="S49" s="98"/>
      <c r="T49" s="25"/>
      <c r="U49" s="25"/>
      <c r="V49" s="25"/>
      <c r="W49" s="25"/>
      <c r="X49" s="25"/>
      <c r="Y49" s="25"/>
      <c r="Z49" s="25"/>
      <c r="AA49" s="25"/>
      <c r="AB49" s="25"/>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25"/>
      <c r="H50" s="100"/>
      <c r="I50" s="43"/>
      <c r="J50" s="43"/>
      <c r="K50" s="43"/>
      <c r="L50" s="43"/>
      <c r="M50" s="43"/>
      <c r="N50" s="43"/>
      <c r="O50" s="43"/>
      <c r="P50" s="43"/>
      <c r="Q50" s="43"/>
      <c r="R50" s="25"/>
      <c r="S50" s="98"/>
      <c r="T50" s="25"/>
      <c r="U50" s="25"/>
      <c r="V50" s="25"/>
      <c r="W50" s="25"/>
      <c r="X50" s="25"/>
      <c r="Y50" s="25"/>
      <c r="Z50" s="25"/>
      <c r="AA50" s="25"/>
      <c r="AB50" s="25"/>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40"/>
      <c r="H51" s="100"/>
      <c r="I51" s="43"/>
      <c r="J51" s="43"/>
      <c r="K51" s="43"/>
      <c r="L51" s="43"/>
      <c r="M51" s="43"/>
      <c r="N51" s="43"/>
      <c r="O51" s="43"/>
      <c r="P51" s="43"/>
      <c r="Q51" s="43"/>
      <c r="R51" s="25"/>
      <c r="S51" s="98"/>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c r="H52" s="100"/>
      <c r="I52" s="43"/>
      <c r="J52" s="43"/>
      <c r="K52" s="43"/>
      <c r="L52" s="43"/>
      <c r="M52" s="43"/>
      <c r="N52" s="43"/>
      <c r="O52" s="43"/>
      <c r="P52" s="43"/>
      <c r="Q52" s="43"/>
      <c r="R52" s="25"/>
      <c r="S52" s="98"/>
      <c r="AO52" s="13" t="s">
        <v>9</v>
      </c>
      <c r="AR52" s="14"/>
    </row>
    <row r="53" spans="1:82">
      <c r="A53" s="42"/>
      <c r="H53" s="100"/>
      <c r="I53" s="43"/>
      <c r="J53" s="43"/>
      <c r="K53" s="43"/>
      <c r="L53" s="43"/>
      <c r="M53" s="43"/>
      <c r="N53" s="43"/>
      <c r="O53" s="43"/>
      <c r="P53" s="43"/>
      <c r="Q53" s="43"/>
      <c r="R53" s="25"/>
      <c r="S53" s="98"/>
      <c r="AO53" s="12" t="s">
        <v>11</v>
      </c>
      <c r="AP53" s="2"/>
      <c r="AQ53" s="2">
        <v>1000</v>
      </c>
      <c r="AR53" s="127" t="s">
        <v>162</v>
      </c>
      <c r="AS53" s="127"/>
      <c r="AT53" s="127"/>
      <c r="AU53" s="127"/>
      <c r="AV53" s="127"/>
      <c r="AW53" s="127"/>
      <c r="AX53" s="127"/>
      <c r="AY53" s="127"/>
      <c r="AZ53" s="127"/>
      <c r="BA53" s="127"/>
      <c r="BB53" s="127"/>
      <c r="BC53" s="127"/>
      <c r="BD53" s="127"/>
      <c r="BE53" s="127"/>
      <c r="BF53" s="127"/>
      <c r="BG53" s="127"/>
      <c r="BH53" s="127"/>
      <c r="BI53" s="127"/>
      <c r="BJ53" s="127"/>
      <c r="BK53" s="127"/>
      <c r="BQ53" t="s">
        <v>124</v>
      </c>
      <c r="BT53" t="s">
        <v>125</v>
      </c>
    </row>
    <row r="54" spans="1:82">
      <c r="A54" s="42"/>
      <c r="H54" s="100"/>
      <c r="I54" s="43"/>
      <c r="J54" s="43"/>
      <c r="K54" s="43"/>
      <c r="L54" s="43"/>
      <c r="M54" s="43"/>
      <c r="N54" s="43"/>
      <c r="O54" s="43"/>
      <c r="P54" s="43"/>
      <c r="Q54" s="43"/>
      <c r="R54" s="25"/>
      <c r="S54" s="98"/>
      <c r="AO54" s="1" t="s">
        <v>0</v>
      </c>
      <c r="AP54" s="4"/>
      <c r="AQ54" s="4" t="s">
        <v>26</v>
      </c>
      <c r="AR54">
        <v>1</v>
      </c>
      <c r="AS54">
        <v>2</v>
      </c>
      <c r="AT54">
        <v>3</v>
      </c>
      <c r="AU54">
        <v>4</v>
      </c>
      <c r="AV54">
        <v>5</v>
      </c>
      <c r="AW54">
        <v>6</v>
      </c>
      <c r="AX54">
        <v>7</v>
      </c>
      <c r="AY54">
        <v>8</v>
      </c>
      <c r="AZ54">
        <v>9</v>
      </c>
      <c r="BA54">
        <v>10</v>
      </c>
      <c r="BB54">
        <v>11</v>
      </c>
      <c r="BC54">
        <v>12</v>
      </c>
      <c r="BD54">
        <v>13</v>
      </c>
      <c r="BE54">
        <v>14</v>
      </c>
      <c r="BF54">
        <v>15</v>
      </c>
      <c r="BG54">
        <v>16</v>
      </c>
      <c r="BH54">
        <v>17</v>
      </c>
      <c r="BI54">
        <v>18</v>
      </c>
      <c r="BJ54">
        <v>19</v>
      </c>
      <c r="BK54">
        <v>20</v>
      </c>
      <c r="BQ54">
        <v>1</v>
      </c>
      <c r="BR54" t="s">
        <v>163</v>
      </c>
      <c r="BT54">
        <v>1</v>
      </c>
      <c r="BU54" t="s">
        <v>164</v>
      </c>
    </row>
    <row r="55" spans="1:82">
      <c r="A55" s="42"/>
      <c r="H55" s="100"/>
      <c r="I55" s="43"/>
      <c r="J55" s="43"/>
      <c r="K55" s="43"/>
      <c r="L55" s="43"/>
      <c r="M55" s="43"/>
      <c r="N55" s="43"/>
      <c r="O55" s="43"/>
      <c r="P55" s="43"/>
      <c r="Q55" s="43"/>
      <c r="R55" s="25"/>
      <c r="S55" s="98"/>
      <c r="AO55" s="1" t="s">
        <v>1</v>
      </c>
      <c r="AP55" s="4"/>
      <c r="AQ55" s="4" t="str">
        <f>IF(BD68&gt;=1, IF(BD68&lt;=100, INDEX(BR54:BR153, BD68), BR153), BR153)</f>
        <v>h9:p49</v>
      </c>
      <c r="AR55">
        <f>$BM68</f>
        <v>0</v>
      </c>
      <c r="AS55">
        <f>$BM72</f>
        <v>0</v>
      </c>
      <c r="AT55">
        <f>$BM76</f>
        <v>0</v>
      </c>
      <c r="AU55">
        <f>$BM80</f>
        <v>0</v>
      </c>
      <c r="AV55">
        <f>$BM84</f>
        <v>0</v>
      </c>
      <c r="AW55">
        <f>$BM88</f>
        <v>0</v>
      </c>
      <c r="AX55">
        <f>$BM92</f>
        <v>0</v>
      </c>
      <c r="AY55">
        <f>$BM96</f>
        <v>0</v>
      </c>
      <c r="AZ55">
        <f>$BM100</f>
        <v>0</v>
      </c>
      <c r="BA55">
        <f>$BM104</f>
        <v>0</v>
      </c>
      <c r="BB55">
        <f>$BM108</f>
        <v>0</v>
      </c>
      <c r="BC55">
        <f>$BM112</f>
        <v>0</v>
      </c>
      <c r="BD55">
        <f>$BM116</f>
        <v>0</v>
      </c>
      <c r="BE55">
        <f>$BM120</f>
        <v>0</v>
      </c>
      <c r="BF55">
        <f>$BM124</f>
        <v>0</v>
      </c>
      <c r="BG55">
        <f>$BM128</f>
        <v>0</v>
      </c>
      <c r="BH55">
        <f>$BM132</f>
        <v>0</v>
      </c>
      <c r="BI55">
        <f>$BM136</f>
        <v>0</v>
      </c>
      <c r="BJ55">
        <f>$BM140</f>
        <v>0</v>
      </c>
      <c r="BK55">
        <f>$BM144</f>
        <v>0</v>
      </c>
      <c r="BQ55">
        <v>2</v>
      </c>
      <c r="BR55" t="s">
        <v>165</v>
      </c>
      <c r="BT55">
        <v>2</v>
      </c>
      <c r="BU55" t="s">
        <v>166</v>
      </c>
    </row>
    <row r="56" spans="1:82">
      <c r="A56" s="42"/>
      <c r="H56" s="100"/>
      <c r="I56" s="43"/>
      <c r="J56" s="43"/>
      <c r="K56" s="43"/>
      <c r="L56" s="43"/>
      <c r="M56" s="43"/>
      <c r="N56" s="43"/>
      <c r="O56" s="43"/>
      <c r="P56" s="43"/>
      <c r="Q56" s="43"/>
      <c r="R56" s="25"/>
      <c r="S56" s="98"/>
      <c r="AO56" s="1" t="s">
        <v>2</v>
      </c>
      <c r="AP56" s="4"/>
      <c r="AQ56" s="4" t="s">
        <v>26</v>
      </c>
      <c r="BQ56">
        <v>3</v>
      </c>
      <c r="BR56" t="s">
        <v>167</v>
      </c>
      <c r="BT56">
        <v>3</v>
      </c>
      <c r="BU56" t="s">
        <v>168</v>
      </c>
    </row>
    <row r="57" spans="1:82">
      <c r="A57" s="42"/>
      <c r="H57" s="100"/>
      <c r="I57" s="43"/>
      <c r="J57" s="43"/>
      <c r="K57" s="43"/>
      <c r="L57" s="43"/>
      <c r="M57" s="43"/>
      <c r="N57" s="43"/>
      <c r="O57" s="43"/>
      <c r="P57" s="43"/>
      <c r="Q57" s="43"/>
      <c r="R57" s="25"/>
      <c r="S57" s="98"/>
      <c r="AO57" s="1" t="s">
        <v>3</v>
      </c>
      <c r="AP57" s="4"/>
      <c r="AQ57" s="4" t="s">
        <v>273</v>
      </c>
      <c r="BQ57">
        <v>4</v>
      </c>
      <c r="BR57" t="s">
        <v>169</v>
      </c>
      <c r="BT57">
        <v>4</v>
      </c>
      <c r="BU57" t="s">
        <v>170</v>
      </c>
    </row>
    <row r="58" spans="1:82">
      <c r="A58" s="42"/>
      <c r="H58" s="100"/>
      <c r="I58" s="43"/>
      <c r="J58" s="43"/>
      <c r="K58" s="43"/>
      <c r="L58" s="43"/>
      <c r="M58" s="43"/>
      <c r="N58" s="43"/>
      <c r="O58" s="43"/>
      <c r="P58" s="43"/>
      <c r="Q58" s="43"/>
      <c r="R58" s="25"/>
      <c r="S58" s="98"/>
      <c r="AO58" s="1" t="s">
        <v>5</v>
      </c>
      <c r="AP58" s="4"/>
      <c r="BQ58">
        <v>5</v>
      </c>
      <c r="BR58" t="s">
        <v>171</v>
      </c>
      <c r="BT58">
        <v>5</v>
      </c>
      <c r="BU58" t="s">
        <v>172</v>
      </c>
    </row>
    <row r="59" spans="1:82">
      <c r="A59" s="42"/>
      <c r="H59" s="100"/>
      <c r="I59" s="43"/>
      <c r="J59" s="43"/>
      <c r="K59" s="43"/>
      <c r="L59" s="43"/>
      <c r="M59" s="43"/>
      <c r="N59" s="43"/>
      <c r="O59" s="43"/>
      <c r="P59" s="43"/>
      <c r="Q59" s="43"/>
      <c r="R59" s="25"/>
      <c r="S59" s="98"/>
      <c r="BQ59">
        <v>6</v>
      </c>
      <c r="BR59" t="s">
        <v>173</v>
      </c>
      <c r="BT59">
        <v>6</v>
      </c>
      <c r="BU59" t="s">
        <v>174</v>
      </c>
    </row>
    <row r="60" spans="1:82">
      <c r="A60" s="42"/>
      <c r="H60" s="100"/>
      <c r="I60" s="43"/>
      <c r="J60" s="43"/>
      <c r="K60" s="43"/>
      <c r="L60" s="43"/>
      <c r="M60" s="43"/>
      <c r="N60" s="43"/>
      <c r="O60" s="43"/>
      <c r="P60" s="43"/>
      <c r="Q60" s="43"/>
      <c r="R60" s="25"/>
      <c r="S60" s="98"/>
      <c r="BQ60">
        <v>7</v>
      </c>
      <c r="BR60" t="s">
        <v>175</v>
      </c>
      <c r="BT60">
        <v>7</v>
      </c>
      <c r="BU60" t="s">
        <v>176</v>
      </c>
    </row>
    <row r="61" spans="1:82">
      <c r="A61" s="42"/>
      <c r="H61" s="100"/>
      <c r="I61" s="43"/>
      <c r="J61" s="43"/>
      <c r="K61" s="43"/>
      <c r="L61" s="43"/>
      <c r="M61" s="43"/>
      <c r="N61" s="43"/>
      <c r="O61" s="43"/>
      <c r="P61" s="43"/>
      <c r="Q61" s="43"/>
      <c r="R61" s="25"/>
      <c r="S61" s="98"/>
      <c r="BQ61">
        <v>8</v>
      </c>
      <c r="BR61" t="s">
        <v>177</v>
      </c>
      <c r="BT61">
        <v>8</v>
      </c>
      <c r="BU61" t="s">
        <v>178</v>
      </c>
    </row>
    <row r="62" spans="1:82">
      <c r="A62" s="42"/>
      <c r="H62" s="100"/>
      <c r="I62" s="43"/>
      <c r="J62" s="43"/>
      <c r="K62" s="43"/>
      <c r="L62" s="43"/>
      <c r="M62" s="43"/>
      <c r="N62" s="43"/>
      <c r="O62" s="43"/>
      <c r="P62" s="43"/>
      <c r="Q62" s="43"/>
      <c r="R62" s="25"/>
      <c r="S62" s="98"/>
      <c r="BQ62">
        <v>9</v>
      </c>
      <c r="BR62" t="s">
        <v>179</v>
      </c>
      <c r="BT62">
        <v>9</v>
      </c>
      <c r="BU62" t="s">
        <v>180</v>
      </c>
    </row>
    <row r="63" spans="1:82">
      <c r="A63" s="42"/>
      <c r="H63" s="100"/>
      <c r="I63" s="43"/>
      <c r="J63" s="43"/>
      <c r="K63" s="43"/>
      <c r="L63" s="43"/>
      <c r="M63" s="43"/>
      <c r="N63" s="43"/>
      <c r="O63" s="43"/>
      <c r="P63" s="43"/>
      <c r="Q63" s="43"/>
      <c r="R63" s="25"/>
      <c r="S63" s="98"/>
      <c r="BQ63">
        <v>10</v>
      </c>
      <c r="BR63" t="s">
        <v>181</v>
      </c>
      <c r="BT63">
        <v>10</v>
      </c>
      <c r="BU63" t="s">
        <v>182</v>
      </c>
    </row>
    <row r="64" spans="1:82">
      <c r="A64" s="42"/>
      <c r="H64" s="100"/>
      <c r="I64" s="43"/>
      <c r="J64" s="43"/>
      <c r="K64" s="43"/>
      <c r="L64" s="43"/>
      <c r="M64" s="43"/>
      <c r="N64" s="43"/>
      <c r="O64" s="43"/>
      <c r="P64" s="43"/>
      <c r="Q64" s="43"/>
      <c r="R64" s="25"/>
      <c r="S64" s="98"/>
      <c r="BQ64">
        <v>11</v>
      </c>
      <c r="BR64" t="s">
        <v>183</v>
      </c>
    </row>
    <row r="65" spans="1:70">
      <c r="A65" s="42"/>
      <c r="H65" s="100"/>
      <c r="I65" s="43"/>
      <c r="J65" s="43"/>
      <c r="K65" s="43"/>
      <c r="L65" s="43"/>
      <c r="M65" s="43"/>
      <c r="N65" s="43"/>
      <c r="O65" s="43"/>
      <c r="P65" s="43"/>
      <c r="Q65" s="43"/>
      <c r="R65" s="25"/>
      <c r="S65" s="98"/>
      <c r="BQ65">
        <v>12</v>
      </c>
      <c r="BR65" t="s">
        <v>184</v>
      </c>
    </row>
    <row r="66" spans="1:70">
      <c r="A66" s="42"/>
      <c r="H66" s="100"/>
      <c r="I66" s="43"/>
      <c r="J66" s="43"/>
      <c r="K66" s="43"/>
      <c r="L66" s="43"/>
      <c r="M66" s="43"/>
      <c r="N66" s="43"/>
      <c r="O66" s="43"/>
      <c r="P66" s="43"/>
      <c r="Q66" s="43"/>
      <c r="R66" s="25"/>
      <c r="S66" s="98"/>
      <c r="AS66" s="127" t="s">
        <v>129</v>
      </c>
      <c r="AT66" s="127"/>
      <c r="AU66" s="127"/>
      <c r="AV66" s="127"/>
      <c r="AW66" s="127"/>
      <c r="AX66" s="127"/>
      <c r="AY66" s="127"/>
      <c r="AZ66" s="127"/>
      <c r="BA66" s="127"/>
      <c r="BB66" s="127"/>
      <c r="BD66" s="41" t="s">
        <v>120</v>
      </c>
      <c r="BE66" s="41" t="s">
        <v>121</v>
      </c>
      <c r="BF66" s="127" t="s">
        <v>122</v>
      </c>
      <c r="BG66" s="127"/>
      <c r="BH66" s="127" t="s">
        <v>123</v>
      </c>
      <c r="BI66" s="127"/>
      <c r="BK66" s="127" t="s">
        <v>134</v>
      </c>
      <c r="BL66" s="127"/>
      <c r="BM66" s="127"/>
      <c r="BQ66">
        <v>13</v>
      </c>
      <c r="BR66" t="s">
        <v>185</v>
      </c>
    </row>
    <row r="67" spans="1:70">
      <c r="A67" s="42"/>
      <c r="H67" s="100"/>
      <c r="I67" s="43"/>
      <c r="J67" s="43"/>
      <c r="K67" s="43"/>
      <c r="L67" s="43"/>
      <c r="M67" s="43"/>
      <c r="N67" s="43"/>
      <c r="O67" s="43"/>
      <c r="P67" s="43"/>
      <c r="Q67" s="43"/>
      <c r="R67" s="25"/>
      <c r="S67" s="98"/>
      <c r="AS67" s="85" t="s">
        <v>66</v>
      </c>
      <c r="AT67" s="85" t="s">
        <v>67</v>
      </c>
      <c r="AU67" s="85" t="s">
        <v>68</v>
      </c>
      <c r="AV67" s="85" t="s">
        <v>69</v>
      </c>
      <c r="AW67" s="85" t="s">
        <v>70</v>
      </c>
      <c r="AX67" s="85" t="s">
        <v>71</v>
      </c>
      <c r="AY67" s="85" t="s">
        <v>72</v>
      </c>
      <c r="AZ67" s="85" t="s">
        <v>73</v>
      </c>
      <c r="BA67" s="85" t="s">
        <v>74</v>
      </c>
      <c r="BB67" s="85" t="s">
        <v>75</v>
      </c>
      <c r="BD67" s="84" t="s">
        <v>124</v>
      </c>
      <c r="BE67" s="85" t="s">
        <v>125</v>
      </c>
      <c r="BF67" s="180" t="s">
        <v>126</v>
      </c>
      <c r="BG67" s="180"/>
      <c r="BH67" s="180" t="s">
        <v>127</v>
      </c>
      <c r="BI67" s="180"/>
      <c r="BK67" s="52" t="s">
        <v>135</v>
      </c>
      <c r="BL67" s="52" t="s">
        <v>136</v>
      </c>
      <c r="BM67" s="52" t="s">
        <v>137</v>
      </c>
      <c r="BQ67">
        <v>14</v>
      </c>
      <c r="BR67" t="s">
        <v>186</v>
      </c>
    </row>
    <row r="68" spans="1:70">
      <c r="A68" s="42"/>
      <c r="H68" s="100"/>
      <c r="I68" s="43"/>
      <c r="J68" s="43"/>
      <c r="K68" s="43"/>
      <c r="L68" s="43"/>
      <c r="M68" s="43"/>
      <c r="N68" s="43"/>
      <c r="O68" s="43"/>
      <c r="P68" s="43"/>
      <c r="Q68" s="43"/>
      <c r="R68" s="25"/>
      <c r="S68" s="98"/>
      <c r="AS68">
        <f>SUMIFS(H$9:H$108, $S$9:$S$108, 1)</f>
        <v>0</v>
      </c>
      <c r="AT68">
        <f>SUMIFS(I$9:I$108, $S$9:$S$108, 1)</f>
        <v>0</v>
      </c>
      <c r="AU68">
        <f t="shared" ref="AU68:BB68" si="0">SUMIFS(J$9:J$108, $S$9:$S$108, 1)</f>
        <v>0</v>
      </c>
      <c r="AV68">
        <f t="shared" si="0"/>
        <v>0</v>
      </c>
      <c r="AW68">
        <f t="shared" si="0"/>
        <v>0</v>
      </c>
      <c r="AX68">
        <f t="shared" si="0"/>
        <v>0</v>
      </c>
      <c r="AY68">
        <f t="shared" si="0"/>
        <v>0</v>
      </c>
      <c r="AZ68">
        <f t="shared" si="0"/>
        <v>0</v>
      </c>
      <c r="BA68">
        <f t="shared" si="0"/>
        <v>0</v>
      </c>
      <c r="BB68">
        <f t="shared" si="0"/>
        <v>0</v>
      </c>
      <c r="BD68">
        <f>COUNTA($R$9:$R$1048575)</f>
        <v>41</v>
      </c>
      <c r="BE68">
        <f>COUNTA($H$9:$Q$9)</f>
        <v>6</v>
      </c>
      <c r="BF68" s="181">
        <f>12*DEVSQ(AS68:BB68)</f>
        <v>0</v>
      </c>
      <c r="BG68" s="181"/>
      <c r="BH68" s="181">
        <f>BD68^2*(BE68^3-BE68)</f>
        <v>353010</v>
      </c>
      <c r="BI68" s="181"/>
      <c r="BK68">
        <f>BF68/BH68</f>
        <v>0</v>
      </c>
      <c r="BL68">
        <f>ROUND(BK68, 2)</f>
        <v>0</v>
      </c>
      <c r="BM68">
        <f>BL68*100</f>
        <v>0</v>
      </c>
      <c r="BQ68">
        <v>15</v>
      </c>
      <c r="BR68" t="s">
        <v>187</v>
      </c>
    </row>
    <row r="69" spans="1:70">
      <c r="A69" s="42"/>
      <c r="H69" s="100"/>
      <c r="I69" s="43"/>
      <c r="J69" s="43"/>
      <c r="K69" s="43"/>
      <c r="L69" s="43"/>
      <c r="M69" s="43"/>
      <c r="N69" s="43"/>
      <c r="O69" s="43"/>
      <c r="P69" s="43"/>
      <c r="Q69" s="43"/>
      <c r="R69" s="25"/>
      <c r="S69" s="98"/>
      <c r="BQ69">
        <v>16</v>
      </c>
      <c r="BR69" t="s">
        <v>188</v>
      </c>
    </row>
    <row r="70" spans="1:70">
      <c r="A70" s="42"/>
      <c r="H70" s="100"/>
      <c r="I70" s="43"/>
      <c r="J70" s="43"/>
      <c r="K70" s="43"/>
      <c r="L70" s="43"/>
      <c r="M70" s="43"/>
      <c r="N70" s="43"/>
      <c r="O70" s="43"/>
      <c r="P70" s="43"/>
      <c r="Q70" s="43"/>
      <c r="R70" s="25"/>
      <c r="S70" s="98"/>
      <c r="AS70" s="127" t="s">
        <v>129</v>
      </c>
      <c r="AT70" s="127"/>
      <c r="AU70" s="127"/>
      <c r="AV70" s="127"/>
      <c r="AW70" s="127"/>
      <c r="AX70" s="127"/>
      <c r="AY70" s="127"/>
      <c r="AZ70" s="127"/>
      <c r="BA70" s="127"/>
      <c r="BB70" s="127"/>
      <c r="BD70" s="41" t="s">
        <v>120</v>
      </c>
      <c r="BE70" s="41" t="s">
        <v>121</v>
      </c>
      <c r="BF70" s="127" t="s">
        <v>122</v>
      </c>
      <c r="BG70" s="127"/>
      <c r="BH70" s="127" t="s">
        <v>123</v>
      </c>
      <c r="BI70" s="127"/>
      <c r="BK70" s="127" t="s">
        <v>134</v>
      </c>
      <c r="BL70" s="127"/>
      <c r="BM70" s="127"/>
      <c r="BQ70">
        <v>17</v>
      </c>
      <c r="BR70" t="s">
        <v>189</v>
      </c>
    </row>
    <row r="71" spans="1:70">
      <c r="A71" s="42"/>
      <c r="H71" s="100"/>
      <c r="I71" s="43"/>
      <c r="J71" s="43"/>
      <c r="K71" s="43"/>
      <c r="L71" s="43"/>
      <c r="M71" s="43"/>
      <c r="N71" s="43"/>
      <c r="O71" s="43"/>
      <c r="P71" s="43"/>
      <c r="Q71" s="43"/>
      <c r="R71" s="25"/>
      <c r="S71" s="98"/>
      <c r="AS71" s="85" t="s">
        <v>66</v>
      </c>
      <c r="AT71" s="85" t="s">
        <v>67</v>
      </c>
      <c r="AU71" s="85" t="s">
        <v>68</v>
      </c>
      <c r="AV71" s="85" t="s">
        <v>69</v>
      </c>
      <c r="AW71" s="85" t="s">
        <v>70</v>
      </c>
      <c r="AX71" s="85" t="s">
        <v>71</v>
      </c>
      <c r="AY71" s="85" t="s">
        <v>72</v>
      </c>
      <c r="AZ71" s="85" t="s">
        <v>73</v>
      </c>
      <c r="BA71" s="85" t="s">
        <v>74</v>
      </c>
      <c r="BB71" s="85" t="s">
        <v>75</v>
      </c>
      <c r="BD71" s="84" t="s">
        <v>124</v>
      </c>
      <c r="BE71" s="85" t="s">
        <v>125</v>
      </c>
      <c r="BF71" s="180" t="s">
        <v>126</v>
      </c>
      <c r="BG71" s="180"/>
      <c r="BH71" s="180" t="s">
        <v>127</v>
      </c>
      <c r="BI71" s="180"/>
      <c r="BK71" s="52" t="s">
        <v>135</v>
      </c>
      <c r="BL71" s="52" t="s">
        <v>136</v>
      </c>
      <c r="BM71" s="52" t="s">
        <v>137</v>
      </c>
      <c r="BQ71">
        <v>18</v>
      </c>
      <c r="BR71" t="s">
        <v>190</v>
      </c>
    </row>
    <row r="72" spans="1:70">
      <c r="A72" s="42"/>
      <c r="H72" s="100"/>
      <c r="I72" s="43"/>
      <c r="J72" s="43"/>
      <c r="K72" s="43"/>
      <c r="L72" s="43"/>
      <c r="M72" s="43"/>
      <c r="N72" s="43"/>
      <c r="O72" s="43"/>
      <c r="P72" s="43"/>
      <c r="Q72" s="43"/>
      <c r="R72" s="25"/>
      <c r="S72" s="98"/>
      <c r="AS72">
        <f>SUMIFS(H$9:H$108, $S$9:$S$108, 2)</f>
        <v>0</v>
      </c>
      <c r="AT72">
        <f t="shared" ref="AT72:BB72" si="1">SUMIFS(I$9:I$108, $S$9:$S$108, 2)</f>
        <v>0</v>
      </c>
      <c r="AU72">
        <f t="shared" si="1"/>
        <v>0</v>
      </c>
      <c r="AV72">
        <f t="shared" si="1"/>
        <v>0</v>
      </c>
      <c r="AW72">
        <f t="shared" si="1"/>
        <v>0</v>
      </c>
      <c r="AX72">
        <f t="shared" si="1"/>
        <v>0</v>
      </c>
      <c r="AY72">
        <f t="shared" si="1"/>
        <v>0</v>
      </c>
      <c r="AZ72">
        <f t="shared" si="1"/>
        <v>0</v>
      </c>
      <c r="BA72">
        <f t="shared" si="1"/>
        <v>0</v>
      </c>
      <c r="BB72">
        <f t="shared" si="1"/>
        <v>0</v>
      </c>
      <c r="BD72">
        <f>COUNTA($R$9:$R$1048575)</f>
        <v>41</v>
      </c>
      <c r="BE72">
        <f>COUNTA($H$9:$Q$9)</f>
        <v>6</v>
      </c>
      <c r="BF72" s="181">
        <f>12*DEVSQ(AS72:BB72)</f>
        <v>0</v>
      </c>
      <c r="BG72" s="181"/>
      <c r="BH72" s="181">
        <f>BD72^2*(BE72^3-BE72)</f>
        <v>353010</v>
      </c>
      <c r="BI72" s="181"/>
      <c r="BK72">
        <f>BF72/BH72</f>
        <v>0</v>
      </c>
      <c r="BL72">
        <f>ROUND(BK72, 2)</f>
        <v>0</v>
      </c>
      <c r="BM72">
        <f>BL72*100</f>
        <v>0</v>
      </c>
      <c r="BQ72">
        <v>19</v>
      </c>
      <c r="BR72" t="s">
        <v>191</v>
      </c>
    </row>
    <row r="73" spans="1:70" ht="20.6">
      <c r="A73" s="42"/>
      <c r="H73" s="100"/>
      <c r="I73" s="43"/>
      <c r="J73" s="43"/>
      <c r="K73" s="43"/>
      <c r="L73" s="43"/>
      <c r="M73" s="43"/>
      <c r="N73" s="43"/>
      <c r="O73" s="43"/>
      <c r="P73" s="43"/>
      <c r="Q73" s="43"/>
      <c r="R73" s="25"/>
      <c r="S73" s="98"/>
      <c r="AQ73" s="36">
        <v>256.11952072599388</v>
      </c>
      <c r="BQ73">
        <v>20</v>
      </c>
      <c r="BR73" t="s">
        <v>192</v>
      </c>
    </row>
    <row r="74" spans="1:70" ht="20.6">
      <c r="A74" s="42"/>
      <c r="H74" s="100"/>
      <c r="I74" s="43"/>
      <c r="J74" s="43"/>
      <c r="K74" s="43"/>
      <c r="L74" s="43"/>
      <c r="M74" s="43"/>
      <c r="N74" s="43"/>
      <c r="O74" s="43"/>
      <c r="P74" s="43"/>
      <c r="Q74" s="43"/>
      <c r="R74" s="25"/>
      <c r="S74" s="98"/>
      <c r="AQ74" s="36">
        <v>2.0835470961830085</v>
      </c>
      <c r="AS74" s="127" t="s">
        <v>129</v>
      </c>
      <c r="AT74" s="127"/>
      <c r="AU74" s="127"/>
      <c r="AV74" s="127"/>
      <c r="AW74" s="127"/>
      <c r="AX74" s="127"/>
      <c r="AY74" s="127"/>
      <c r="AZ74" s="127"/>
      <c r="BA74" s="127"/>
      <c r="BB74" s="127"/>
      <c r="BD74" s="41" t="s">
        <v>120</v>
      </c>
      <c r="BE74" s="41" t="s">
        <v>121</v>
      </c>
      <c r="BF74" s="127" t="s">
        <v>122</v>
      </c>
      <c r="BG74" s="127"/>
      <c r="BH74" s="127" t="s">
        <v>123</v>
      </c>
      <c r="BI74" s="127"/>
      <c r="BK74" s="127" t="s">
        <v>134</v>
      </c>
      <c r="BL74" s="127"/>
      <c r="BM74" s="127"/>
      <c r="BQ74">
        <v>21</v>
      </c>
      <c r="BR74" t="s">
        <v>193</v>
      </c>
    </row>
    <row r="75" spans="1:70">
      <c r="A75" s="42"/>
      <c r="H75" s="100"/>
      <c r="I75" s="43"/>
      <c r="J75" s="43"/>
      <c r="K75" s="43"/>
      <c r="L75" s="43"/>
      <c r="M75" s="43"/>
      <c r="N75" s="43"/>
      <c r="O75" s="43"/>
      <c r="P75" s="43"/>
      <c r="Q75" s="43"/>
      <c r="R75" s="25"/>
      <c r="S75" s="98"/>
      <c r="AS75" s="85" t="s">
        <v>66</v>
      </c>
      <c r="AT75" s="85" t="s">
        <v>67</v>
      </c>
      <c r="AU75" s="85" t="s">
        <v>68</v>
      </c>
      <c r="AV75" s="85" t="s">
        <v>69</v>
      </c>
      <c r="AW75" s="85" t="s">
        <v>70</v>
      </c>
      <c r="AX75" s="85" t="s">
        <v>71</v>
      </c>
      <c r="AY75" s="85" t="s">
        <v>72</v>
      </c>
      <c r="AZ75" s="85" t="s">
        <v>73</v>
      </c>
      <c r="BA75" s="85" t="s">
        <v>74</v>
      </c>
      <c r="BB75" s="85" t="s">
        <v>75</v>
      </c>
      <c r="BD75" s="84" t="s">
        <v>124</v>
      </c>
      <c r="BE75" s="85" t="s">
        <v>125</v>
      </c>
      <c r="BF75" s="180" t="s">
        <v>126</v>
      </c>
      <c r="BG75" s="180"/>
      <c r="BH75" s="180" t="s">
        <v>127</v>
      </c>
      <c r="BI75" s="180"/>
      <c r="BK75" s="52" t="s">
        <v>135</v>
      </c>
      <c r="BL75" s="52" t="s">
        <v>136</v>
      </c>
      <c r="BM75" s="52" t="s">
        <v>137</v>
      </c>
      <c r="BQ75">
        <v>22</v>
      </c>
      <c r="BR75" t="s">
        <v>194</v>
      </c>
    </row>
    <row r="76" spans="1:70">
      <c r="A76" s="42"/>
      <c r="H76" s="100"/>
      <c r="I76" s="43"/>
      <c r="J76" s="43"/>
      <c r="K76" s="43"/>
      <c r="L76" s="43"/>
      <c r="M76" s="43"/>
      <c r="N76" s="43"/>
      <c r="O76" s="43"/>
      <c r="P76" s="43"/>
      <c r="Q76" s="43"/>
      <c r="R76" s="25"/>
      <c r="S76" s="98"/>
      <c r="AS76">
        <f>SUMIFS(H$9:H$108, $S$9:$S$108, 3)</f>
        <v>0</v>
      </c>
      <c r="AT76">
        <f t="shared" ref="AT76:BB76" si="2">SUMIFS(I$9:I$108, $S$9:$S$108, 3)</f>
        <v>0</v>
      </c>
      <c r="AU76">
        <f t="shared" si="2"/>
        <v>0</v>
      </c>
      <c r="AV76">
        <f t="shared" si="2"/>
        <v>0</v>
      </c>
      <c r="AW76">
        <f t="shared" si="2"/>
        <v>0</v>
      </c>
      <c r="AX76">
        <f t="shared" si="2"/>
        <v>0</v>
      </c>
      <c r="AY76">
        <f t="shared" si="2"/>
        <v>0</v>
      </c>
      <c r="AZ76">
        <f t="shared" si="2"/>
        <v>0</v>
      </c>
      <c r="BA76">
        <f t="shared" si="2"/>
        <v>0</v>
      </c>
      <c r="BB76">
        <f t="shared" si="2"/>
        <v>0</v>
      </c>
      <c r="BD76">
        <f>COUNTA($R$9:$R$1048575)</f>
        <v>41</v>
      </c>
      <c r="BE76">
        <f>COUNTA($H$9:$Q$9)</f>
        <v>6</v>
      </c>
      <c r="BF76" s="181">
        <f>12*DEVSQ(AS76:BB76)</f>
        <v>0</v>
      </c>
      <c r="BG76" s="181"/>
      <c r="BH76" s="181">
        <f>BD76^2*(BE76^3-BE76)</f>
        <v>353010</v>
      </c>
      <c r="BI76" s="181"/>
      <c r="BK76">
        <f>BF76/BH76</f>
        <v>0</v>
      </c>
      <c r="BL76">
        <f>ROUND(BK76, 2)</f>
        <v>0</v>
      </c>
      <c r="BM76">
        <f>BL76*100</f>
        <v>0</v>
      </c>
      <c r="BQ76">
        <v>23</v>
      </c>
      <c r="BR76" t="s">
        <v>195</v>
      </c>
    </row>
    <row r="77" spans="1:70">
      <c r="A77" s="42"/>
      <c r="H77" s="100"/>
      <c r="I77" s="43"/>
      <c r="J77" s="43"/>
      <c r="K77" s="43"/>
      <c r="L77" s="43"/>
      <c r="M77" s="43"/>
      <c r="N77" s="43"/>
      <c r="O77" s="43"/>
      <c r="P77" s="43"/>
      <c r="Q77" s="43"/>
      <c r="R77" s="25"/>
      <c r="S77" s="98"/>
      <c r="BQ77">
        <v>24</v>
      </c>
      <c r="BR77" t="s">
        <v>196</v>
      </c>
    </row>
    <row r="78" spans="1:70">
      <c r="A78" s="42"/>
      <c r="H78" s="100"/>
      <c r="I78" s="43"/>
      <c r="J78" s="43"/>
      <c r="K78" s="43"/>
      <c r="L78" s="43"/>
      <c r="M78" s="43"/>
      <c r="N78" s="43"/>
      <c r="O78" s="43"/>
      <c r="P78" s="43"/>
      <c r="Q78" s="43"/>
      <c r="R78" s="25"/>
      <c r="S78" s="98"/>
      <c r="AS78" s="127" t="s">
        <v>129</v>
      </c>
      <c r="AT78" s="127"/>
      <c r="AU78" s="127"/>
      <c r="AV78" s="127"/>
      <c r="AW78" s="127"/>
      <c r="AX78" s="127"/>
      <c r="AY78" s="127"/>
      <c r="AZ78" s="127"/>
      <c r="BA78" s="127"/>
      <c r="BB78" s="127"/>
      <c r="BD78" s="41" t="s">
        <v>120</v>
      </c>
      <c r="BE78" s="41" t="s">
        <v>121</v>
      </c>
      <c r="BF78" s="127" t="s">
        <v>122</v>
      </c>
      <c r="BG78" s="127"/>
      <c r="BH78" s="127" t="s">
        <v>123</v>
      </c>
      <c r="BI78" s="127"/>
      <c r="BK78" s="127" t="s">
        <v>134</v>
      </c>
      <c r="BL78" s="127"/>
      <c r="BM78" s="127"/>
      <c r="BQ78">
        <v>25</v>
      </c>
      <c r="BR78" t="s">
        <v>197</v>
      </c>
    </row>
    <row r="79" spans="1:70">
      <c r="A79" s="42"/>
      <c r="H79" s="100"/>
      <c r="I79" s="43"/>
      <c r="J79" s="43"/>
      <c r="K79" s="43"/>
      <c r="L79" s="43"/>
      <c r="M79" s="43"/>
      <c r="N79" s="43"/>
      <c r="O79" s="43"/>
      <c r="P79" s="43"/>
      <c r="Q79" s="43"/>
      <c r="R79" s="25"/>
      <c r="S79" s="98"/>
      <c r="AS79" s="85" t="s">
        <v>66</v>
      </c>
      <c r="AT79" s="85" t="s">
        <v>67</v>
      </c>
      <c r="AU79" s="85" t="s">
        <v>68</v>
      </c>
      <c r="AV79" s="85" t="s">
        <v>69</v>
      </c>
      <c r="AW79" s="85" t="s">
        <v>70</v>
      </c>
      <c r="AX79" s="85" t="s">
        <v>71</v>
      </c>
      <c r="AY79" s="85" t="s">
        <v>72</v>
      </c>
      <c r="AZ79" s="85" t="s">
        <v>73</v>
      </c>
      <c r="BA79" s="85" t="s">
        <v>74</v>
      </c>
      <c r="BB79" s="85" t="s">
        <v>75</v>
      </c>
      <c r="BD79" s="84" t="s">
        <v>124</v>
      </c>
      <c r="BE79" s="85" t="s">
        <v>125</v>
      </c>
      <c r="BF79" s="180" t="s">
        <v>126</v>
      </c>
      <c r="BG79" s="180"/>
      <c r="BH79" s="180" t="s">
        <v>127</v>
      </c>
      <c r="BI79" s="180"/>
      <c r="BK79" s="52" t="s">
        <v>135</v>
      </c>
      <c r="BL79" s="52" t="s">
        <v>136</v>
      </c>
      <c r="BM79" s="52" t="s">
        <v>137</v>
      </c>
      <c r="BQ79">
        <v>26</v>
      </c>
      <c r="BR79" t="s">
        <v>198</v>
      </c>
    </row>
    <row r="80" spans="1:70">
      <c r="A80" s="42"/>
      <c r="H80" s="100"/>
      <c r="I80" s="43"/>
      <c r="J80" s="43"/>
      <c r="K80" s="43"/>
      <c r="L80" s="43"/>
      <c r="M80" s="43"/>
      <c r="N80" s="43"/>
      <c r="O80" s="43"/>
      <c r="P80" s="43"/>
      <c r="Q80" s="43"/>
      <c r="R80" s="25"/>
      <c r="S80" s="98"/>
      <c r="AS80">
        <f>SUMIFS(H$9:H$108, $S$9:$S$108, 4)</f>
        <v>0</v>
      </c>
      <c r="AT80">
        <f t="shared" ref="AT80:BB80" si="3">SUMIFS(I$9:I$108, $S$9:$S$108, 4)</f>
        <v>0</v>
      </c>
      <c r="AU80">
        <f t="shared" si="3"/>
        <v>0</v>
      </c>
      <c r="AV80">
        <f t="shared" si="3"/>
        <v>0</v>
      </c>
      <c r="AW80">
        <f t="shared" si="3"/>
        <v>0</v>
      </c>
      <c r="AX80">
        <f t="shared" si="3"/>
        <v>0</v>
      </c>
      <c r="AY80">
        <f t="shared" si="3"/>
        <v>0</v>
      </c>
      <c r="AZ80">
        <f t="shared" si="3"/>
        <v>0</v>
      </c>
      <c r="BA80">
        <f t="shared" si="3"/>
        <v>0</v>
      </c>
      <c r="BB80">
        <f t="shared" si="3"/>
        <v>0</v>
      </c>
      <c r="BD80">
        <f>COUNTA($R$9:$R$1048575)</f>
        <v>41</v>
      </c>
      <c r="BE80">
        <f>COUNTA($H$9:$Q$9)</f>
        <v>6</v>
      </c>
      <c r="BF80" s="181">
        <f>12*DEVSQ(AS80:BB80)</f>
        <v>0</v>
      </c>
      <c r="BG80" s="181"/>
      <c r="BH80" s="181">
        <f>BD80^2*(BE80^3-BE80)</f>
        <v>353010</v>
      </c>
      <c r="BI80" s="181"/>
      <c r="BK80">
        <f>BF80/BH80</f>
        <v>0</v>
      </c>
      <c r="BL80">
        <f>ROUND(BK80, 2)</f>
        <v>0</v>
      </c>
      <c r="BM80">
        <f>BL80*100</f>
        <v>0</v>
      </c>
      <c r="BQ80">
        <v>27</v>
      </c>
      <c r="BR80" t="s">
        <v>199</v>
      </c>
    </row>
    <row r="81" spans="1:70">
      <c r="A81" s="42"/>
      <c r="H81" s="100"/>
      <c r="I81" s="43"/>
      <c r="J81" s="43"/>
      <c r="K81" s="43"/>
      <c r="L81" s="43"/>
      <c r="M81" s="43"/>
      <c r="N81" s="43"/>
      <c r="O81" s="43"/>
      <c r="P81" s="43"/>
      <c r="Q81" s="43"/>
      <c r="R81" s="25"/>
      <c r="S81" s="98"/>
      <c r="BQ81">
        <v>28</v>
      </c>
      <c r="BR81" t="s">
        <v>200</v>
      </c>
    </row>
    <row r="82" spans="1:70">
      <c r="A82" s="42"/>
      <c r="H82" s="100"/>
      <c r="I82" s="43"/>
      <c r="J82" s="43"/>
      <c r="K82" s="43"/>
      <c r="L82" s="43"/>
      <c r="M82" s="43"/>
      <c r="N82" s="43"/>
      <c r="O82" s="43"/>
      <c r="P82" s="43"/>
      <c r="Q82" s="43"/>
      <c r="R82" s="25"/>
      <c r="S82" s="98"/>
      <c r="AS82" s="127" t="s">
        <v>129</v>
      </c>
      <c r="AT82" s="127"/>
      <c r="AU82" s="127"/>
      <c r="AV82" s="127"/>
      <c r="AW82" s="127"/>
      <c r="AX82" s="127"/>
      <c r="AY82" s="127"/>
      <c r="AZ82" s="127"/>
      <c r="BA82" s="127"/>
      <c r="BB82" s="127"/>
      <c r="BD82" s="41" t="s">
        <v>120</v>
      </c>
      <c r="BE82" s="41" t="s">
        <v>121</v>
      </c>
      <c r="BF82" s="127" t="s">
        <v>122</v>
      </c>
      <c r="BG82" s="127"/>
      <c r="BH82" s="127" t="s">
        <v>123</v>
      </c>
      <c r="BI82" s="127"/>
      <c r="BK82" s="127" t="s">
        <v>134</v>
      </c>
      <c r="BL82" s="127"/>
      <c r="BM82" s="127"/>
      <c r="BQ82">
        <v>29</v>
      </c>
      <c r="BR82" t="s">
        <v>201</v>
      </c>
    </row>
    <row r="83" spans="1:70">
      <c r="A83" s="42"/>
      <c r="H83" s="100"/>
      <c r="I83" s="43"/>
      <c r="J83" s="43"/>
      <c r="K83" s="43"/>
      <c r="L83" s="43"/>
      <c r="M83" s="43"/>
      <c r="N83" s="43"/>
      <c r="O83" s="43"/>
      <c r="P83" s="43"/>
      <c r="Q83" s="43"/>
      <c r="R83" s="25"/>
      <c r="S83" s="98"/>
      <c r="AS83" s="85" t="s">
        <v>66</v>
      </c>
      <c r="AT83" s="85" t="s">
        <v>67</v>
      </c>
      <c r="AU83" s="85" t="s">
        <v>68</v>
      </c>
      <c r="AV83" s="85" t="s">
        <v>69</v>
      </c>
      <c r="AW83" s="85" t="s">
        <v>70</v>
      </c>
      <c r="AX83" s="85" t="s">
        <v>71</v>
      </c>
      <c r="AY83" s="85" t="s">
        <v>72</v>
      </c>
      <c r="AZ83" s="85" t="s">
        <v>73</v>
      </c>
      <c r="BA83" s="85" t="s">
        <v>74</v>
      </c>
      <c r="BB83" s="85" t="s">
        <v>75</v>
      </c>
      <c r="BD83" s="84" t="s">
        <v>124</v>
      </c>
      <c r="BE83" s="85" t="s">
        <v>125</v>
      </c>
      <c r="BF83" s="180" t="s">
        <v>126</v>
      </c>
      <c r="BG83" s="180"/>
      <c r="BH83" s="180" t="s">
        <v>127</v>
      </c>
      <c r="BI83" s="180"/>
      <c r="BK83" s="52" t="s">
        <v>135</v>
      </c>
      <c r="BL83" s="52" t="s">
        <v>136</v>
      </c>
      <c r="BM83" s="52" t="s">
        <v>137</v>
      </c>
      <c r="BQ83">
        <v>30</v>
      </c>
      <c r="BR83" t="s">
        <v>202</v>
      </c>
    </row>
    <row r="84" spans="1:70">
      <c r="A84" s="42"/>
      <c r="H84" s="100"/>
      <c r="I84" s="43"/>
      <c r="J84" s="43"/>
      <c r="K84" s="43"/>
      <c r="L84" s="43"/>
      <c r="M84" s="43"/>
      <c r="N84" s="43"/>
      <c r="O84" s="43"/>
      <c r="P84" s="43"/>
      <c r="Q84" s="43"/>
      <c r="R84" s="25"/>
      <c r="S84" s="98"/>
      <c r="AS84">
        <f>SUMIFS(H$9:H$108, $S$9:$S$108, 5)</f>
        <v>0</v>
      </c>
      <c r="AT84">
        <f t="shared" ref="AT84:BB84" si="4">SUMIFS(I$9:I$108, $S$9:$S$108, 5)</f>
        <v>0</v>
      </c>
      <c r="AU84">
        <f t="shared" si="4"/>
        <v>0</v>
      </c>
      <c r="AV84">
        <f t="shared" si="4"/>
        <v>0</v>
      </c>
      <c r="AW84">
        <f t="shared" si="4"/>
        <v>0</v>
      </c>
      <c r="AX84">
        <f t="shared" si="4"/>
        <v>0</v>
      </c>
      <c r="AY84">
        <f t="shared" si="4"/>
        <v>0</v>
      </c>
      <c r="AZ84">
        <f t="shared" si="4"/>
        <v>0</v>
      </c>
      <c r="BA84">
        <f t="shared" si="4"/>
        <v>0</v>
      </c>
      <c r="BB84">
        <f t="shared" si="4"/>
        <v>0</v>
      </c>
      <c r="BD84">
        <f>COUNTA($R$9:$R$1048575)</f>
        <v>41</v>
      </c>
      <c r="BE84">
        <f>COUNTA($H$9:$Q$9)</f>
        <v>6</v>
      </c>
      <c r="BF84" s="181">
        <f>12*DEVSQ(AS84:BB84)</f>
        <v>0</v>
      </c>
      <c r="BG84" s="181"/>
      <c r="BH84" s="181">
        <f>BD84^2*(BE84^3-BE84)</f>
        <v>353010</v>
      </c>
      <c r="BI84" s="181"/>
      <c r="BK84">
        <f>BF84/BH84</f>
        <v>0</v>
      </c>
      <c r="BL84">
        <f>ROUND(BK84, 2)</f>
        <v>0</v>
      </c>
      <c r="BM84">
        <f>BL84*100</f>
        <v>0</v>
      </c>
      <c r="BQ84">
        <v>31</v>
      </c>
      <c r="BR84" t="s">
        <v>203</v>
      </c>
    </row>
    <row r="85" spans="1:70">
      <c r="A85" s="42"/>
      <c r="H85" s="100"/>
      <c r="I85" s="43"/>
      <c r="J85" s="43"/>
      <c r="K85" s="43"/>
      <c r="L85" s="43"/>
      <c r="M85" s="43"/>
      <c r="N85" s="43"/>
      <c r="O85" s="43"/>
      <c r="P85" s="43"/>
      <c r="Q85" s="43"/>
      <c r="R85" s="25"/>
      <c r="S85" s="98"/>
      <c r="BQ85">
        <v>32</v>
      </c>
      <c r="BR85" t="s">
        <v>204</v>
      </c>
    </row>
    <row r="86" spans="1:70">
      <c r="A86" s="42"/>
      <c r="H86" s="100"/>
      <c r="I86" s="43"/>
      <c r="J86" s="43"/>
      <c r="K86" s="43"/>
      <c r="L86" s="43"/>
      <c r="M86" s="43"/>
      <c r="N86" s="43"/>
      <c r="O86" s="43"/>
      <c r="P86" s="43"/>
      <c r="Q86" s="43"/>
      <c r="R86" s="25"/>
      <c r="S86" s="98"/>
      <c r="AS86" s="127" t="s">
        <v>129</v>
      </c>
      <c r="AT86" s="127"/>
      <c r="AU86" s="127"/>
      <c r="AV86" s="127"/>
      <c r="AW86" s="127"/>
      <c r="AX86" s="127"/>
      <c r="AY86" s="127"/>
      <c r="AZ86" s="127"/>
      <c r="BA86" s="127"/>
      <c r="BB86" s="127"/>
      <c r="BD86" s="41" t="s">
        <v>120</v>
      </c>
      <c r="BE86" s="41" t="s">
        <v>121</v>
      </c>
      <c r="BF86" s="127" t="s">
        <v>122</v>
      </c>
      <c r="BG86" s="127"/>
      <c r="BH86" s="127" t="s">
        <v>123</v>
      </c>
      <c r="BI86" s="127"/>
      <c r="BK86" s="127" t="s">
        <v>134</v>
      </c>
      <c r="BL86" s="127"/>
      <c r="BM86" s="127"/>
      <c r="BQ86">
        <v>33</v>
      </c>
      <c r="BR86" t="s">
        <v>205</v>
      </c>
    </row>
    <row r="87" spans="1:70">
      <c r="A87" s="42"/>
      <c r="H87" s="100"/>
      <c r="I87" s="43"/>
      <c r="J87" s="43"/>
      <c r="K87" s="43"/>
      <c r="L87" s="43"/>
      <c r="M87" s="43"/>
      <c r="N87" s="43"/>
      <c r="O87" s="43"/>
      <c r="P87" s="43"/>
      <c r="Q87" s="43"/>
      <c r="R87" s="25"/>
      <c r="S87" s="98"/>
      <c r="AS87" s="85" t="s">
        <v>66</v>
      </c>
      <c r="AT87" s="85" t="s">
        <v>67</v>
      </c>
      <c r="AU87" s="85" t="s">
        <v>68</v>
      </c>
      <c r="AV87" s="85" t="s">
        <v>69</v>
      </c>
      <c r="AW87" s="85" t="s">
        <v>70</v>
      </c>
      <c r="AX87" s="85" t="s">
        <v>71</v>
      </c>
      <c r="AY87" s="85" t="s">
        <v>72</v>
      </c>
      <c r="AZ87" s="85" t="s">
        <v>73</v>
      </c>
      <c r="BA87" s="85" t="s">
        <v>74</v>
      </c>
      <c r="BB87" s="85" t="s">
        <v>75</v>
      </c>
      <c r="BD87" s="84" t="s">
        <v>124</v>
      </c>
      <c r="BE87" s="85" t="s">
        <v>125</v>
      </c>
      <c r="BF87" s="180" t="s">
        <v>126</v>
      </c>
      <c r="BG87" s="180"/>
      <c r="BH87" s="180" t="s">
        <v>127</v>
      </c>
      <c r="BI87" s="180"/>
      <c r="BK87" s="52" t="s">
        <v>135</v>
      </c>
      <c r="BL87" s="52" t="s">
        <v>136</v>
      </c>
      <c r="BM87" s="52" t="s">
        <v>137</v>
      </c>
      <c r="BQ87">
        <v>34</v>
      </c>
      <c r="BR87" t="s">
        <v>206</v>
      </c>
    </row>
    <row r="88" spans="1:70">
      <c r="A88" s="42"/>
      <c r="H88" s="100"/>
      <c r="I88" s="43"/>
      <c r="J88" s="43"/>
      <c r="K88" s="43"/>
      <c r="L88" s="43"/>
      <c r="M88" s="43"/>
      <c r="N88" s="43"/>
      <c r="O88" s="43"/>
      <c r="P88" s="43"/>
      <c r="Q88" s="43"/>
      <c r="R88" s="25"/>
      <c r="S88" s="98"/>
      <c r="AS88">
        <f>SUMIFS(H$9:H$108, $S$9:$S$108, 6)</f>
        <v>0</v>
      </c>
      <c r="AT88">
        <f t="shared" ref="AT88:BB88" si="5">SUMIFS(I$9:I$108, $S$9:$S$108, 6)</f>
        <v>0</v>
      </c>
      <c r="AU88">
        <f t="shared" si="5"/>
        <v>0</v>
      </c>
      <c r="AV88">
        <f t="shared" si="5"/>
        <v>0</v>
      </c>
      <c r="AW88">
        <f t="shared" si="5"/>
        <v>0</v>
      </c>
      <c r="AX88">
        <f t="shared" si="5"/>
        <v>0</v>
      </c>
      <c r="AY88">
        <f t="shared" si="5"/>
        <v>0</v>
      </c>
      <c r="AZ88">
        <f t="shared" si="5"/>
        <v>0</v>
      </c>
      <c r="BA88">
        <f t="shared" si="5"/>
        <v>0</v>
      </c>
      <c r="BB88">
        <f t="shared" si="5"/>
        <v>0</v>
      </c>
      <c r="BD88">
        <f>COUNTA($R$9:$R$1048575)</f>
        <v>41</v>
      </c>
      <c r="BE88">
        <f>COUNTA($H$9:$Q$9)</f>
        <v>6</v>
      </c>
      <c r="BF88" s="181">
        <f>12*DEVSQ(AS88:BB88)</f>
        <v>0</v>
      </c>
      <c r="BG88" s="181"/>
      <c r="BH88" s="181">
        <f>BD88^2*(BE88^3-BE88)</f>
        <v>353010</v>
      </c>
      <c r="BI88" s="181"/>
      <c r="BK88">
        <f>BF88/BH88</f>
        <v>0</v>
      </c>
      <c r="BL88">
        <f>ROUND(BK88, 2)</f>
        <v>0</v>
      </c>
      <c r="BM88">
        <f>BL88*100</f>
        <v>0</v>
      </c>
      <c r="BQ88">
        <v>35</v>
      </c>
      <c r="BR88" t="s">
        <v>207</v>
      </c>
    </row>
    <row r="89" spans="1:70">
      <c r="A89" s="42"/>
      <c r="H89" s="100"/>
      <c r="I89" s="43"/>
      <c r="J89" s="43"/>
      <c r="K89" s="43"/>
      <c r="L89" s="43"/>
      <c r="M89" s="43"/>
      <c r="N89" s="43"/>
      <c r="O89" s="43"/>
      <c r="P89" s="43"/>
      <c r="Q89" s="43"/>
      <c r="R89" s="25"/>
      <c r="S89" s="98"/>
      <c r="BQ89">
        <v>36</v>
      </c>
      <c r="BR89" t="s">
        <v>208</v>
      </c>
    </row>
    <row r="90" spans="1:70">
      <c r="A90" s="42"/>
      <c r="H90" s="100"/>
      <c r="I90" s="43"/>
      <c r="J90" s="43"/>
      <c r="K90" s="43"/>
      <c r="L90" s="43"/>
      <c r="M90" s="43"/>
      <c r="N90" s="43"/>
      <c r="O90" s="43"/>
      <c r="P90" s="43"/>
      <c r="Q90" s="43"/>
      <c r="R90" s="25"/>
      <c r="S90" s="98"/>
      <c r="AS90" s="127" t="s">
        <v>129</v>
      </c>
      <c r="AT90" s="127"/>
      <c r="AU90" s="127"/>
      <c r="AV90" s="127"/>
      <c r="AW90" s="127"/>
      <c r="AX90" s="127"/>
      <c r="AY90" s="127"/>
      <c r="AZ90" s="127"/>
      <c r="BA90" s="127"/>
      <c r="BB90" s="127"/>
      <c r="BD90" s="41" t="s">
        <v>120</v>
      </c>
      <c r="BE90" s="41" t="s">
        <v>121</v>
      </c>
      <c r="BF90" s="127" t="s">
        <v>122</v>
      </c>
      <c r="BG90" s="127"/>
      <c r="BH90" s="127" t="s">
        <v>123</v>
      </c>
      <c r="BI90" s="127"/>
      <c r="BK90" s="127" t="s">
        <v>134</v>
      </c>
      <c r="BL90" s="127"/>
      <c r="BM90" s="127"/>
      <c r="BQ90">
        <v>37</v>
      </c>
      <c r="BR90" t="s">
        <v>209</v>
      </c>
    </row>
    <row r="91" spans="1:70">
      <c r="A91" s="42"/>
      <c r="H91" s="100"/>
      <c r="I91" s="43"/>
      <c r="J91" s="43"/>
      <c r="K91" s="43"/>
      <c r="L91" s="43"/>
      <c r="M91" s="43"/>
      <c r="N91" s="43"/>
      <c r="O91" s="43"/>
      <c r="P91" s="43"/>
      <c r="Q91" s="43"/>
      <c r="R91" s="25"/>
      <c r="S91" s="98"/>
      <c r="AS91" s="85" t="s">
        <v>66</v>
      </c>
      <c r="AT91" s="85" t="s">
        <v>67</v>
      </c>
      <c r="AU91" s="85" t="s">
        <v>68</v>
      </c>
      <c r="AV91" s="85" t="s">
        <v>69</v>
      </c>
      <c r="AW91" s="85" t="s">
        <v>70</v>
      </c>
      <c r="AX91" s="85" t="s">
        <v>71</v>
      </c>
      <c r="AY91" s="85" t="s">
        <v>72</v>
      </c>
      <c r="AZ91" s="85" t="s">
        <v>73</v>
      </c>
      <c r="BA91" s="85" t="s">
        <v>74</v>
      </c>
      <c r="BB91" s="85" t="s">
        <v>75</v>
      </c>
      <c r="BD91" s="84" t="s">
        <v>124</v>
      </c>
      <c r="BE91" s="85" t="s">
        <v>125</v>
      </c>
      <c r="BF91" s="180" t="s">
        <v>126</v>
      </c>
      <c r="BG91" s="180"/>
      <c r="BH91" s="180" t="s">
        <v>127</v>
      </c>
      <c r="BI91" s="180"/>
      <c r="BK91" s="52" t="s">
        <v>135</v>
      </c>
      <c r="BL91" s="52" t="s">
        <v>136</v>
      </c>
      <c r="BM91" s="52" t="s">
        <v>137</v>
      </c>
      <c r="BQ91">
        <v>38</v>
      </c>
      <c r="BR91" t="s">
        <v>210</v>
      </c>
    </row>
    <row r="92" spans="1:70">
      <c r="A92" s="42"/>
      <c r="H92" s="100"/>
      <c r="I92" s="43"/>
      <c r="J92" s="43"/>
      <c r="K92" s="43"/>
      <c r="L92" s="43"/>
      <c r="M92" s="43"/>
      <c r="N92" s="43"/>
      <c r="O92" s="43"/>
      <c r="P92" s="43"/>
      <c r="Q92" s="43"/>
      <c r="R92" s="25"/>
      <c r="S92" s="98"/>
      <c r="AS92">
        <f>SUMIFS(H$9:H$108, $S$9:$S$108, 7)</f>
        <v>0</v>
      </c>
      <c r="AT92">
        <f t="shared" ref="AT92:BB92" si="6">SUMIFS(I$9:I$108, $S$9:$S$108, 7)</f>
        <v>0</v>
      </c>
      <c r="AU92">
        <f t="shared" si="6"/>
        <v>0</v>
      </c>
      <c r="AV92">
        <f t="shared" si="6"/>
        <v>0</v>
      </c>
      <c r="AW92">
        <f t="shared" si="6"/>
        <v>0</v>
      </c>
      <c r="AX92">
        <f t="shared" si="6"/>
        <v>0</v>
      </c>
      <c r="AY92">
        <f t="shared" si="6"/>
        <v>0</v>
      </c>
      <c r="AZ92">
        <f t="shared" si="6"/>
        <v>0</v>
      </c>
      <c r="BA92">
        <f t="shared" si="6"/>
        <v>0</v>
      </c>
      <c r="BB92">
        <f t="shared" si="6"/>
        <v>0</v>
      </c>
      <c r="BD92">
        <f>COUNTA($R$9:$R$1048575)</f>
        <v>41</v>
      </c>
      <c r="BE92">
        <f>COUNTA($H$9:$Q$9)</f>
        <v>6</v>
      </c>
      <c r="BF92" s="181">
        <f>12*DEVSQ(AS92:BB92)</f>
        <v>0</v>
      </c>
      <c r="BG92" s="181"/>
      <c r="BH92" s="181">
        <f>BD92^2*(BE92^3-BE92)</f>
        <v>353010</v>
      </c>
      <c r="BI92" s="181"/>
      <c r="BK92">
        <f>BF92/BH92</f>
        <v>0</v>
      </c>
      <c r="BL92">
        <f>ROUND(BK92, 2)</f>
        <v>0</v>
      </c>
      <c r="BM92">
        <f>BL92*100</f>
        <v>0</v>
      </c>
      <c r="BQ92">
        <v>39</v>
      </c>
      <c r="BR92" t="s">
        <v>211</v>
      </c>
    </row>
    <row r="93" spans="1:70">
      <c r="A93" s="42"/>
      <c r="H93" s="100"/>
      <c r="I93" s="43"/>
      <c r="J93" s="43"/>
      <c r="K93" s="43"/>
      <c r="L93" s="43"/>
      <c r="M93" s="43"/>
      <c r="N93" s="43"/>
      <c r="O93" s="43"/>
      <c r="P93" s="43"/>
      <c r="Q93" s="43"/>
      <c r="R93" s="25"/>
      <c r="S93" s="98"/>
      <c r="BQ93">
        <v>40</v>
      </c>
      <c r="BR93" t="s">
        <v>212</v>
      </c>
    </row>
    <row r="94" spans="1:70">
      <c r="A94" s="42"/>
      <c r="H94" s="100"/>
      <c r="I94" s="43"/>
      <c r="J94" s="43"/>
      <c r="K94" s="43"/>
      <c r="L94" s="43"/>
      <c r="M94" s="43"/>
      <c r="N94" s="43"/>
      <c r="O94" s="43"/>
      <c r="P94" s="43"/>
      <c r="Q94" s="43"/>
      <c r="R94" s="25"/>
      <c r="S94" s="98"/>
      <c r="AS94" s="127" t="s">
        <v>129</v>
      </c>
      <c r="AT94" s="127"/>
      <c r="AU94" s="127"/>
      <c r="AV94" s="127"/>
      <c r="AW94" s="127"/>
      <c r="AX94" s="127"/>
      <c r="AY94" s="127"/>
      <c r="AZ94" s="127"/>
      <c r="BA94" s="127"/>
      <c r="BB94" s="127"/>
      <c r="BD94" s="41" t="s">
        <v>120</v>
      </c>
      <c r="BE94" s="41" t="s">
        <v>121</v>
      </c>
      <c r="BF94" s="127" t="s">
        <v>122</v>
      </c>
      <c r="BG94" s="127"/>
      <c r="BH94" s="127" t="s">
        <v>123</v>
      </c>
      <c r="BI94" s="127"/>
      <c r="BK94" s="127" t="s">
        <v>134</v>
      </c>
      <c r="BL94" s="127"/>
      <c r="BM94" s="127"/>
      <c r="BQ94">
        <v>41</v>
      </c>
      <c r="BR94" t="s">
        <v>213</v>
      </c>
    </row>
    <row r="95" spans="1:70">
      <c r="A95" s="42"/>
      <c r="H95" s="100"/>
      <c r="I95" s="43"/>
      <c r="J95" s="43"/>
      <c r="K95" s="43"/>
      <c r="L95" s="43"/>
      <c r="M95" s="43"/>
      <c r="N95" s="43"/>
      <c r="O95" s="43"/>
      <c r="P95" s="43"/>
      <c r="Q95" s="43"/>
      <c r="R95" s="25"/>
      <c r="S95" s="98"/>
      <c r="AS95" s="85" t="s">
        <v>66</v>
      </c>
      <c r="AT95" s="85" t="s">
        <v>67</v>
      </c>
      <c r="AU95" s="85" t="s">
        <v>68</v>
      </c>
      <c r="AV95" s="85" t="s">
        <v>69</v>
      </c>
      <c r="AW95" s="85" t="s">
        <v>70</v>
      </c>
      <c r="AX95" s="85" t="s">
        <v>71</v>
      </c>
      <c r="AY95" s="85" t="s">
        <v>72</v>
      </c>
      <c r="AZ95" s="85" t="s">
        <v>73</v>
      </c>
      <c r="BA95" s="85" t="s">
        <v>74</v>
      </c>
      <c r="BB95" s="85" t="s">
        <v>75</v>
      </c>
      <c r="BD95" s="84" t="s">
        <v>124</v>
      </c>
      <c r="BE95" s="85" t="s">
        <v>125</v>
      </c>
      <c r="BF95" s="180" t="s">
        <v>126</v>
      </c>
      <c r="BG95" s="180"/>
      <c r="BH95" s="180" t="s">
        <v>127</v>
      </c>
      <c r="BI95" s="180"/>
      <c r="BK95" s="52" t="s">
        <v>135</v>
      </c>
      <c r="BL95" s="52" t="s">
        <v>136</v>
      </c>
      <c r="BM95" s="52" t="s">
        <v>137</v>
      </c>
      <c r="BQ95">
        <v>42</v>
      </c>
      <c r="BR95" t="s">
        <v>214</v>
      </c>
    </row>
    <row r="96" spans="1:70">
      <c r="A96" s="42"/>
      <c r="H96" s="100"/>
      <c r="I96" s="43"/>
      <c r="J96" s="43"/>
      <c r="K96" s="43"/>
      <c r="L96" s="43"/>
      <c r="M96" s="43"/>
      <c r="N96" s="43"/>
      <c r="O96" s="43"/>
      <c r="P96" s="43"/>
      <c r="Q96" s="43"/>
      <c r="R96" s="25"/>
      <c r="S96" s="98"/>
      <c r="AS96">
        <f>SUMIFS(H$9:H$108, $S$9:$S$108, 8)</f>
        <v>0</v>
      </c>
      <c r="AT96">
        <f t="shared" ref="AT96:BB96" si="7">SUMIFS(I$9:I$108, $S$9:$S$108, 8)</f>
        <v>0</v>
      </c>
      <c r="AU96">
        <f t="shared" si="7"/>
        <v>0</v>
      </c>
      <c r="AV96">
        <f t="shared" si="7"/>
        <v>0</v>
      </c>
      <c r="AW96">
        <f t="shared" si="7"/>
        <v>0</v>
      </c>
      <c r="AX96">
        <f t="shared" si="7"/>
        <v>0</v>
      </c>
      <c r="AY96">
        <f t="shared" si="7"/>
        <v>0</v>
      </c>
      <c r="AZ96">
        <f t="shared" si="7"/>
        <v>0</v>
      </c>
      <c r="BA96">
        <f t="shared" si="7"/>
        <v>0</v>
      </c>
      <c r="BB96">
        <f t="shared" si="7"/>
        <v>0</v>
      </c>
      <c r="BD96">
        <f>COUNTA($R$9:$R$1048575)</f>
        <v>41</v>
      </c>
      <c r="BE96">
        <f>COUNTA($H$9:$Q$9)</f>
        <v>6</v>
      </c>
      <c r="BF96" s="181">
        <f>12*DEVSQ(AS96:BB96)</f>
        <v>0</v>
      </c>
      <c r="BG96" s="181"/>
      <c r="BH96" s="181">
        <f>BD96^2*(BE96^3-BE96)</f>
        <v>353010</v>
      </c>
      <c r="BI96" s="181"/>
      <c r="BK96">
        <f>BF96/BH96</f>
        <v>0</v>
      </c>
      <c r="BL96">
        <f>ROUND(BK96, 2)</f>
        <v>0</v>
      </c>
      <c r="BM96">
        <f>BL96*100</f>
        <v>0</v>
      </c>
      <c r="BQ96">
        <v>43</v>
      </c>
      <c r="BR96" t="s">
        <v>215</v>
      </c>
    </row>
    <row r="97" spans="1:70">
      <c r="A97" s="42"/>
      <c r="H97" s="100"/>
      <c r="I97" s="43"/>
      <c r="J97" s="43"/>
      <c r="K97" s="43"/>
      <c r="L97" s="43"/>
      <c r="M97" s="43"/>
      <c r="N97" s="43"/>
      <c r="O97" s="43"/>
      <c r="P97" s="43"/>
      <c r="Q97" s="43"/>
      <c r="R97" s="25"/>
      <c r="S97" s="98"/>
      <c r="BQ97">
        <v>44</v>
      </c>
      <c r="BR97" t="s">
        <v>216</v>
      </c>
    </row>
    <row r="98" spans="1:70">
      <c r="A98" s="42"/>
      <c r="H98" s="100"/>
      <c r="I98" s="43"/>
      <c r="J98" s="43"/>
      <c r="K98" s="43"/>
      <c r="L98" s="43"/>
      <c r="M98" s="43"/>
      <c r="N98" s="43"/>
      <c r="O98" s="43"/>
      <c r="P98" s="43"/>
      <c r="Q98" s="43"/>
      <c r="R98" s="25"/>
      <c r="S98" s="98"/>
      <c r="AS98" s="127" t="s">
        <v>129</v>
      </c>
      <c r="AT98" s="127"/>
      <c r="AU98" s="127"/>
      <c r="AV98" s="127"/>
      <c r="AW98" s="127"/>
      <c r="AX98" s="127"/>
      <c r="AY98" s="127"/>
      <c r="AZ98" s="127"/>
      <c r="BA98" s="127"/>
      <c r="BB98" s="127"/>
      <c r="BD98" s="41" t="s">
        <v>120</v>
      </c>
      <c r="BE98" s="41" t="s">
        <v>121</v>
      </c>
      <c r="BF98" s="127" t="s">
        <v>122</v>
      </c>
      <c r="BG98" s="127"/>
      <c r="BH98" s="127" t="s">
        <v>123</v>
      </c>
      <c r="BI98" s="127"/>
      <c r="BK98" s="127" t="s">
        <v>134</v>
      </c>
      <c r="BL98" s="127"/>
      <c r="BM98" s="127"/>
      <c r="BQ98">
        <v>45</v>
      </c>
      <c r="BR98" t="s">
        <v>217</v>
      </c>
    </row>
    <row r="99" spans="1:70">
      <c r="A99" s="42"/>
      <c r="H99" s="100"/>
      <c r="I99" s="43"/>
      <c r="J99" s="43"/>
      <c r="K99" s="43"/>
      <c r="L99" s="43"/>
      <c r="M99" s="43"/>
      <c r="N99" s="43"/>
      <c r="O99" s="43"/>
      <c r="P99" s="43"/>
      <c r="Q99" s="43"/>
      <c r="R99" s="25"/>
      <c r="S99" s="98"/>
      <c r="AS99" s="85" t="s">
        <v>66</v>
      </c>
      <c r="AT99" s="85" t="s">
        <v>67</v>
      </c>
      <c r="AU99" s="85" t="s">
        <v>68</v>
      </c>
      <c r="AV99" s="85" t="s">
        <v>69</v>
      </c>
      <c r="AW99" s="85" t="s">
        <v>70</v>
      </c>
      <c r="AX99" s="85" t="s">
        <v>71</v>
      </c>
      <c r="AY99" s="85" t="s">
        <v>72</v>
      </c>
      <c r="AZ99" s="85" t="s">
        <v>73</v>
      </c>
      <c r="BA99" s="85" t="s">
        <v>74</v>
      </c>
      <c r="BB99" s="85" t="s">
        <v>75</v>
      </c>
      <c r="BD99" s="84" t="s">
        <v>124</v>
      </c>
      <c r="BE99" s="85" t="s">
        <v>125</v>
      </c>
      <c r="BF99" s="180" t="s">
        <v>126</v>
      </c>
      <c r="BG99" s="180"/>
      <c r="BH99" s="180" t="s">
        <v>127</v>
      </c>
      <c r="BI99" s="180"/>
      <c r="BK99" s="52" t="s">
        <v>135</v>
      </c>
      <c r="BL99" s="52" t="s">
        <v>136</v>
      </c>
      <c r="BM99" s="52" t="s">
        <v>137</v>
      </c>
      <c r="BQ99">
        <v>46</v>
      </c>
      <c r="BR99" t="s">
        <v>218</v>
      </c>
    </row>
    <row r="100" spans="1:70">
      <c r="A100" s="42"/>
      <c r="H100" s="100"/>
      <c r="I100" s="43"/>
      <c r="J100" s="43"/>
      <c r="K100" s="43"/>
      <c r="L100" s="43"/>
      <c r="M100" s="43"/>
      <c r="N100" s="43"/>
      <c r="O100" s="43"/>
      <c r="P100" s="43"/>
      <c r="Q100" s="43"/>
      <c r="R100" s="25"/>
      <c r="S100" s="98"/>
      <c r="AS100">
        <f>SUMIFS(H$9:H$108, $S$9:$S$108, 9)</f>
        <v>0</v>
      </c>
      <c r="AT100">
        <f t="shared" ref="AT100:BB100" si="8">SUMIFS(I$9:I$108, $S$9:$S$108, 9)</f>
        <v>0</v>
      </c>
      <c r="AU100">
        <f t="shared" si="8"/>
        <v>0</v>
      </c>
      <c r="AV100">
        <f t="shared" si="8"/>
        <v>0</v>
      </c>
      <c r="AW100">
        <f t="shared" si="8"/>
        <v>0</v>
      </c>
      <c r="AX100">
        <f t="shared" si="8"/>
        <v>0</v>
      </c>
      <c r="AY100">
        <f t="shared" si="8"/>
        <v>0</v>
      </c>
      <c r="AZ100">
        <f t="shared" si="8"/>
        <v>0</v>
      </c>
      <c r="BA100">
        <f t="shared" si="8"/>
        <v>0</v>
      </c>
      <c r="BB100">
        <f t="shared" si="8"/>
        <v>0</v>
      </c>
      <c r="BD100">
        <f>COUNTA($R$9:$R$1048575)</f>
        <v>41</v>
      </c>
      <c r="BE100">
        <f>COUNTA($H$9:$Q$9)</f>
        <v>6</v>
      </c>
      <c r="BF100" s="181">
        <f>12*DEVSQ(AS100:BB100)</f>
        <v>0</v>
      </c>
      <c r="BG100" s="181"/>
      <c r="BH100" s="181">
        <f>BD100^2*(BE100^3-BE100)</f>
        <v>353010</v>
      </c>
      <c r="BI100" s="181"/>
      <c r="BK100">
        <f>BF100/BH100</f>
        <v>0</v>
      </c>
      <c r="BL100">
        <f>ROUND(BK100, 2)</f>
        <v>0</v>
      </c>
      <c r="BM100">
        <f>BL100*100</f>
        <v>0</v>
      </c>
      <c r="BQ100">
        <v>47</v>
      </c>
      <c r="BR100" t="s">
        <v>219</v>
      </c>
    </row>
    <row r="101" spans="1:70">
      <c r="A101" s="42"/>
      <c r="H101" s="100"/>
      <c r="I101" s="43"/>
      <c r="J101" s="43"/>
      <c r="K101" s="43"/>
      <c r="L101" s="43"/>
      <c r="M101" s="43"/>
      <c r="N101" s="43"/>
      <c r="O101" s="43"/>
      <c r="P101" s="43"/>
      <c r="Q101" s="43"/>
      <c r="R101" s="25"/>
      <c r="S101" s="98"/>
      <c r="BQ101">
        <v>48</v>
      </c>
      <c r="BR101" t="s">
        <v>220</v>
      </c>
    </row>
    <row r="102" spans="1:70">
      <c r="A102" s="42"/>
      <c r="H102" s="100"/>
      <c r="I102" s="43"/>
      <c r="J102" s="43"/>
      <c r="K102" s="43"/>
      <c r="L102" s="43"/>
      <c r="M102" s="43"/>
      <c r="N102" s="43"/>
      <c r="O102" s="43"/>
      <c r="P102" s="43"/>
      <c r="Q102" s="43"/>
      <c r="R102" s="25"/>
      <c r="S102" s="98"/>
      <c r="AS102" s="127" t="s">
        <v>129</v>
      </c>
      <c r="AT102" s="127"/>
      <c r="AU102" s="127"/>
      <c r="AV102" s="127"/>
      <c r="AW102" s="127"/>
      <c r="AX102" s="127"/>
      <c r="AY102" s="127"/>
      <c r="AZ102" s="127"/>
      <c r="BA102" s="127"/>
      <c r="BB102" s="127"/>
      <c r="BD102" s="41" t="s">
        <v>120</v>
      </c>
      <c r="BE102" s="41" t="s">
        <v>121</v>
      </c>
      <c r="BF102" s="127" t="s">
        <v>122</v>
      </c>
      <c r="BG102" s="127"/>
      <c r="BH102" s="127" t="s">
        <v>123</v>
      </c>
      <c r="BI102" s="127"/>
      <c r="BK102" s="127" t="s">
        <v>134</v>
      </c>
      <c r="BL102" s="127"/>
      <c r="BM102" s="127"/>
      <c r="BQ102">
        <v>49</v>
      </c>
      <c r="BR102" t="s">
        <v>221</v>
      </c>
    </row>
    <row r="103" spans="1:70">
      <c r="A103" s="42"/>
      <c r="H103" s="100"/>
      <c r="I103" s="43"/>
      <c r="J103" s="43"/>
      <c r="K103" s="43"/>
      <c r="L103" s="43"/>
      <c r="M103" s="43"/>
      <c r="N103" s="43"/>
      <c r="O103" s="43"/>
      <c r="P103" s="43"/>
      <c r="Q103" s="43"/>
      <c r="R103" s="25"/>
      <c r="S103" s="98"/>
      <c r="AS103" s="85" t="s">
        <v>66</v>
      </c>
      <c r="AT103" s="85" t="s">
        <v>67</v>
      </c>
      <c r="AU103" s="85" t="s">
        <v>68</v>
      </c>
      <c r="AV103" s="85" t="s">
        <v>69</v>
      </c>
      <c r="AW103" s="85" t="s">
        <v>70</v>
      </c>
      <c r="AX103" s="85" t="s">
        <v>71</v>
      </c>
      <c r="AY103" s="85" t="s">
        <v>72</v>
      </c>
      <c r="AZ103" s="85" t="s">
        <v>73</v>
      </c>
      <c r="BA103" s="85" t="s">
        <v>74</v>
      </c>
      <c r="BB103" s="85" t="s">
        <v>75</v>
      </c>
      <c r="BD103" s="84" t="s">
        <v>124</v>
      </c>
      <c r="BE103" s="85" t="s">
        <v>125</v>
      </c>
      <c r="BF103" s="180" t="s">
        <v>126</v>
      </c>
      <c r="BG103" s="180"/>
      <c r="BH103" s="180" t="s">
        <v>127</v>
      </c>
      <c r="BI103" s="180"/>
      <c r="BK103" s="52" t="s">
        <v>135</v>
      </c>
      <c r="BL103" s="52" t="s">
        <v>136</v>
      </c>
      <c r="BM103" s="52" t="s">
        <v>137</v>
      </c>
      <c r="BQ103">
        <v>50</v>
      </c>
      <c r="BR103" t="s">
        <v>222</v>
      </c>
    </row>
    <row r="104" spans="1:70">
      <c r="A104" s="42"/>
      <c r="H104" s="101"/>
      <c r="I104" s="102"/>
      <c r="J104" s="102"/>
      <c r="K104" s="102"/>
      <c r="L104" s="102"/>
      <c r="M104" s="102"/>
      <c r="N104" s="102"/>
      <c r="O104" s="102"/>
      <c r="P104" s="102"/>
      <c r="Q104" s="102"/>
      <c r="R104" s="103"/>
      <c r="S104" s="104"/>
      <c r="AS104">
        <f>SUMIFS(H$9:H$108, $S$9:$S$108, 10)</f>
        <v>0</v>
      </c>
      <c r="AT104">
        <f t="shared" ref="AT104:BB104" si="9">SUMIFS(I$9:I$108, $S$9:$S$108, 10)</f>
        <v>0</v>
      </c>
      <c r="AU104">
        <f t="shared" si="9"/>
        <v>0</v>
      </c>
      <c r="AV104">
        <f t="shared" si="9"/>
        <v>0</v>
      </c>
      <c r="AW104">
        <f t="shared" si="9"/>
        <v>0</v>
      </c>
      <c r="AX104">
        <f t="shared" si="9"/>
        <v>0</v>
      </c>
      <c r="AY104">
        <f t="shared" si="9"/>
        <v>0</v>
      </c>
      <c r="AZ104">
        <f t="shared" si="9"/>
        <v>0</v>
      </c>
      <c r="BA104">
        <f t="shared" si="9"/>
        <v>0</v>
      </c>
      <c r="BB104">
        <f t="shared" si="9"/>
        <v>0</v>
      </c>
      <c r="BD104">
        <f>COUNTA($R$9:$R$1048575)</f>
        <v>41</v>
      </c>
      <c r="BE104">
        <f>COUNTA($H$9:$Q$9)</f>
        <v>6</v>
      </c>
      <c r="BF104" s="181">
        <f>12*DEVSQ(AS104:BB104)</f>
        <v>0</v>
      </c>
      <c r="BG104" s="181"/>
      <c r="BH104" s="181">
        <f>BD104^2*(BE104^3-BE104)</f>
        <v>353010</v>
      </c>
      <c r="BI104" s="181"/>
      <c r="BK104">
        <f>BF104/BH104</f>
        <v>0</v>
      </c>
      <c r="BL104">
        <f>ROUND(BK104, 2)</f>
        <v>0</v>
      </c>
      <c r="BM104">
        <f>BL104*100</f>
        <v>0</v>
      </c>
      <c r="BQ104">
        <v>51</v>
      </c>
      <c r="BR104" t="s">
        <v>223</v>
      </c>
    </row>
    <row r="105" spans="1:70">
      <c r="A105" t="s">
        <v>274</v>
      </c>
      <c r="H105" t="s">
        <v>274</v>
      </c>
      <c r="BQ105">
        <v>52</v>
      </c>
      <c r="BR105" t="s">
        <v>224</v>
      </c>
    </row>
    <row r="106" spans="1:70">
      <c r="A106" s="42"/>
      <c r="AS106" s="127" t="s">
        <v>129</v>
      </c>
      <c r="AT106" s="127"/>
      <c r="AU106" s="127"/>
      <c r="AV106" s="127"/>
      <c r="AW106" s="127"/>
      <c r="AX106" s="127"/>
      <c r="AY106" s="127"/>
      <c r="AZ106" s="127"/>
      <c r="BA106" s="127"/>
      <c r="BB106" s="127"/>
      <c r="BD106" s="41" t="s">
        <v>120</v>
      </c>
      <c r="BE106" s="41" t="s">
        <v>121</v>
      </c>
      <c r="BF106" s="127" t="s">
        <v>122</v>
      </c>
      <c r="BG106" s="127"/>
      <c r="BH106" s="127" t="s">
        <v>123</v>
      </c>
      <c r="BI106" s="127"/>
      <c r="BK106" s="127" t="s">
        <v>134</v>
      </c>
      <c r="BL106" s="127"/>
      <c r="BM106" s="127"/>
      <c r="BQ106">
        <v>53</v>
      </c>
      <c r="BR106" t="s">
        <v>225</v>
      </c>
    </row>
    <row r="107" spans="1:70">
      <c r="A107" s="42"/>
      <c r="AS107" s="85" t="s">
        <v>66</v>
      </c>
      <c r="AT107" s="85" t="s">
        <v>67</v>
      </c>
      <c r="AU107" s="85" t="s">
        <v>68</v>
      </c>
      <c r="AV107" s="85" t="s">
        <v>69</v>
      </c>
      <c r="AW107" s="85" t="s">
        <v>70</v>
      </c>
      <c r="AX107" s="85" t="s">
        <v>71</v>
      </c>
      <c r="AY107" s="85" t="s">
        <v>72</v>
      </c>
      <c r="AZ107" s="85" t="s">
        <v>73</v>
      </c>
      <c r="BA107" s="85" t="s">
        <v>74</v>
      </c>
      <c r="BB107" s="85" t="s">
        <v>75</v>
      </c>
      <c r="BD107" s="84" t="s">
        <v>124</v>
      </c>
      <c r="BE107" s="85" t="s">
        <v>125</v>
      </c>
      <c r="BF107" s="180" t="s">
        <v>126</v>
      </c>
      <c r="BG107" s="180"/>
      <c r="BH107" s="180" t="s">
        <v>127</v>
      </c>
      <c r="BI107" s="180"/>
      <c r="BK107" s="52" t="s">
        <v>135</v>
      </c>
      <c r="BL107" s="52" t="s">
        <v>136</v>
      </c>
      <c r="BM107" s="52" t="s">
        <v>137</v>
      </c>
      <c r="BQ107">
        <v>54</v>
      </c>
      <c r="BR107" t="s">
        <v>226</v>
      </c>
    </row>
    <row r="108" spans="1:70">
      <c r="A108" s="42"/>
      <c r="AS108">
        <f>SUMIFS(H$9:H$108, $S$9:$S$108, 11)</f>
        <v>0</v>
      </c>
      <c r="AT108">
        <f t="shared" ref="AT108:BB108" si="10">SUMIFS(I$9:I$108, $S$9:$S$108, 11)</f>
        <v>0</v>
      </c>
      <c r="AU108">
        <f t="shared" si="10"/>
        <v>0</v>
      </c>
      <c r="AV108">
        <f t="shared" si="10"/>
        <v>0</v>
      </c>
      <c r="AW108">
        <f t="shared" si="10"/>
        <v>0</v>
      </c>
      <c r="AX108">
        <f t="shared" si="10"/>
        <v>0</v>
      </c>
      <c r="AY108">
        <f t="shared" si="10"/>
        <v>0</v>
      </c>
      <c r="AZ108">
        <f t="shared" si="10"/>
        <v>0</v>
      </c>
      <c r="BA108">
        <f t="shared" si="10"/>
        <v>0</v>
      </c>
      <c r="BB108">
        <f t="shared" si="10"/>
        <v>0</v>
      </c>
      <c r="BD108">
        <f>COUNTA($R$9:$R$1048575)</f>
        <v>41</v>
      </c>
      <c r="BE108">
        <f>COUNTA($H$9:$Q$9)</f>
        <v>6</v>
      </c>
      <c r="BF108" s="181">
        <f>12*DEVSQ(AS108:BB108)</f>
        <v>0</v>
      </c>
      <c r="BG108" s="181"/>
      <c r="BH108" s="181">
        <f>BD108^2*(BE108^3-BE108)</f>
        <v>353010</v>
      </c>
      <c r="BI108" s="181"/>
      <c r="BK108">
        <f>BF108/BH108</f>
        <v>0</v>
      </c>
      <c r="BL108">
        <f>ROUND(BK108, 2)</f>
        <v>0</v>
      </c>
      <c r="BM108">
        <f>BL108*100</f>
        <v>0</v>
      </c>
      <c r="BQ108">
        <v>55</v>
      </c>
      <c r="BR108" t="s">
        <v>227</v>
      </c>
    </row>
    <row r="109" spans="1:70">
      <c r="A109" s="42"/>
      <c r="BQ109">
        <v>56</v>
      </c>
      <c r="BR109" t="s">
        <v>228</v>
      </c>
    </row>
    <row r="110" spans="1:70">
      <c r="A110" s="42"/>
      <c r="AS110" s="127" t="s">
        <v>129</v>
      </c>
      <c r="AT110" s="127"/>
      <c r="AU110" s="127"/>
      <c r="AV110" s="127"/>
      <c r="AW110" s="127"/>
      <c r="AX110" s="127"/>
      <c r="AY110" s="127"/>
      <c r="AZ110" s="127"/>
      <c r="BA110" s="127"/>
      <c r="BB110" s="127"/>
      <c r="BD110" s="41" t="s">
        <v>120</v>
      </c>
      <c r="BE110" s="41" t="s">
        <v>121</v>
      </c>
      <c r="BF110" s="127" t="s">
        <v>122</v>
      </c>
      <c r="BG110" s="127"/>
      <c r="BH110" s="127" t="s">
        <v>123</v>
      </c>
      <c r="BI110" s="127"/>
      <c r="BK110" s="127" t="s">
        <v>134</v>
      </c>
      <c r="BL110" s="127"/>
      <c r="BM110" s="127"/>
      <c r="BQ110">
        <v>57</v>
      </c>
      <c r="BR110" t="s">
        <v>229</v>
      </c>
    </row>
    <row r="111" spans="1:70">
      <c r="A111" s="42"/>
      <c r="AS111" s="85" t="s">
        <v>66</v>
      </c>
      <c r="AT111" s="85" t="s">
        <v>67</v>
      </c>
      <c r="AU111" s="85" t="s">
        <v>68</v>
      </c>
      <c r="AV111" s="85" t="s">
        <v>69</v>
      </c>
      <c r="AW111" s="85" t="s">
        <v>70</v>
      </c>
      <c r="AX111" s="85" t="s">
        <v>71</v>
      </c>
      <c r="AY111" s="85" t="s">
        <v>72</v>
      </c>
      <c r="AZ111" s="85" t="s">
        <v>73</v>
      </c>
      <c r="BA111" s="85" t="s">
        <v>74</v>
      </c>
      <c r="BB111" s="85" t="s">
        <v>75</v>
      </c>
      <c r="BD111" s="84" t="s">
        <v>124</v>
      </c>
      <c r="BE111" s="85" t="s">
        <v>125</v>
      </c>
      <c r="BF111" s="180" t="s">
        <v>126</v>
      </c>
      <c r="BG111" s="180"/>
      <c r="BH111" s="180" t="s">
        <v>127</v>
      </c>
      <c r="BI111" s="180"/>
      <c r="BK111" s="52" t="s">
        <v>135</v>
      </c>
      <c r="BL111" s="52" t="s">
        <v>136</v>
      </c>
      <c r="BM111" s="52" t="s">
        <v>137</v>
      </c>
      <c r="BQ111">
        <v>58</v>
      </c>
      <c r="BR111" t="s">
        <v>230</v>
      </c>
    </row>
    <row r="112" spans="1:70">
      <c r="A112" s="42"/>
      <c r="AS112">
        <f>SUMIFS(H$9:H$108, $S$9:$S$108, 12)</f>
        <v>0</v>
      </c>
      <c r="AT112">
        <f t="shared" ref="AT112:BB112" si="11">SUMIFS(I$9:I$108, $S$9:$S$108, 12)</f>
        <v>0</v>
      </c>
      <c r="AU112">
        <f t="shared" si="11"/>
        <v>0</v>
      </c>
      <c r="AV112">
        <f t="shared" si="11"/>
        <v>0</v>
      </c>
      <c r="AW112">
        <f t="shared" si="11"/>
        <v>0</v>
      </c>
      <c r="AX112">
        <f t="shared" si="11"/>
        <v>0</v>
      </c>
      <c r="AY112">
        <f t="shared" si="11"/>
        <v>0</v>
      </c>
      <c r="AZ112">
        <f t="shared" si="11"/>
        <v>0</v>
      </c>
      <c r="BA112">
        <f t="shared" si="11"/>
        <v>0</v>
      </c>
      <c r="BB112">
        <f t="shared" si="11"/>
        <v>0</v>
      </c>
      <c r="BD112">
        <f>COUNTA($R$9:$R$1048575)</f>
        <v>41</v>
      </c>
      <c r="BE112">
        <f>COUNTA($H$9:$Q$9)</f>
        <v>6</v>
      </c>
      <c r="BF112" s="181">
        <f>12*DEVSQ(AS112:BB112)</f>
        <v>0</v>
      </c>
      <c r="BG112" s="181"/>
      <c r="BH112" s="181">
        <f>BD112^2*(BE112^3-BE112)</f>
        <v>353010</v>
      </c>
      <c r="BI112" s="181"/>
      <c r="BK112">
        <f>BF112/BH112</f>
        <v>0</v>
      </c>
      <c r="BL112">
        <f>ROUND(BK112, 2)</f>
        <v>0</v>
      </c>
      <c r="BM112">
        <f>BL112*100</f>
        <v>0</v>
      </c>
      <c r="BQ112">
        <v>59</v>
      </c>
      <c r="BR112" t="s">
        <v>231</v>
      </c>
    </row>
    <row r="113" spans="1:70">
      <c r="A113" s="42"/>
      <c r="BQ113">
        <v>60</v>
      </c>
      <c r="BR113" t="s">
        <v>232</v>
      </c>
    </row>
    <row r="114" spans="1:70">
      <c r="A114" s="42"/>
      <c r="AS114" s="127" t="s">
        <v>129</v>
      </c>
      <c r="AT114" s="127"/>
      <c r="AU114" s="127"/>
      <c r="AV114" s="127"/>
      <c r="AW114" s="127"/>
      <c r="AX114" s="127"/>
      <c r="AY114" s="127"/>
      <c r="AZ114" s="127"/>
      <c r="BA114" s="127"/>
      <c r="BB114" s="127"/>
      <c r="BD114" s="41" t="s">
        <v>120</v>
      </c>
      <c r="BE114" s="41" t="s">
        <v>121</v>
      </c>
      <c r="BF114" s="127" t="s">
        <v>122</v>
      </c>
      <c r="BG114" s="127"/>
      <c r="BH114" s="127" t="s">
        <v>123</v>
      </c>
      <c r="BI114" s="127"/>
      <c r="BK114" s="127" t="s">
        <v>134</v>
      </c>
      <c r="BL114" s="127"/>
      <c r="BM114" s="127"/>
      <c r="BQ114">
        <v>61</v>
      </c>
      <c r="BR114" t="s">
        <v>233</v>
      </c>
    </row>
    <row r="115" spans="1:70">
      <c r="A115" s="42"/>
      <c r="AS115" s="85" t="s">
        <v>66</v>
      </c>
      <c r="AT115" s="85" t="s">
        <v>67</v>
      </c>
      <c r="AU115" s="85" t="s">
        <v>68</v>
      </c>
      <c r="AV115" s="85" t="s">
        <v>69</v>
      </c>
      <c r="AW115" s="85" t="s">
        <v>70</v>
      </c>
      <c r="AX115" s="85" t="s">
        <v>71</v>
      </c>
      <c r="AY115" s="85" t="s">
        <v>72</v>
      </c>
      <c r="AZ115" s="85" t="s">
        <v>73</v>
      </c>
      <c r="BA115" s="85" t="s">
        <v>74</v>
      </c>
      <c r="BB115" s="85" t="s">
        <v>75</v>
      </c>
      <c r="BD115" s="84" t="s">
        <v>124</v>
      </c>
      <c r="BE115" s="85" t="s">
        <v>125</v>
      </c>
      <c r="BF115" s="180" t="s">
        <v>126</v>
      </c>
      <c r="BG115" s="180"/>
      <c r="BH115" s="180" t="s">
        <v>127</v>
      </c>
      <c r="BI115" s="180"/>
      <c r="BK115" s="52" t="s">
        <v>135</v>
      </c>
      <c r="BL115" s="52" t="s">
        <v>136</v>
      </c>
      <c r="BM115" s="52" t="s">
        <v>137</v>
      </c>
      <c r="BQ115">
        <v>62</v>
      </c>
      <c r="BR115" t="s">
        <v>234</v>
      </c>
    </row>
    <row r="116" spans="1:70">
      <c r="A116" s="42"/>
      <c r="AS116">
        <f>SUMIFS(H$9:H$108, $S$9:$S$108, 13)</f>
        <v>0</v>
      </c>
      <c r="AT116">
        <f t="shared" ref="AT116:BB116" si="12">SUMIFS(I$9:I$108, $S$9:$S$108, 13)</f>
        <v>0</v>
      </c>
      <c r="AU116">
        <f t="shared" si="12"/>
        <v>0</v>
      </c>
      <c r="AV116">
        <f t="shared" si="12"/>
        <v>0</v>
      </c>
      <c r="AW116">
        <f t="shared" si="12"/>
        <v>0</v>
      </c>
      <c r="AX116">
        <f t="shared" si="12"/>
        <v>0</v>
      </c>
      <c r="AY116">
        <f t="shared" si="12"/>
        <v>0</v>
      </c>
      <c r="AZ116">
        <f t="shared" si="12"/>
        <v>0</v>
      </c>
      <c r="BA116">
        <f t="shared" si="12"/>
        <v>0</v>
      </c>
      <c r="BB116">
        <f t="shared" si="12"/>
        <v>0</v>
      </c>
      <c r="BD116">
        <f>COUNTA($R$9:$R$1048575)</f>
        <v>41</v>
      </c>
      <c r="BE116">
        <f>COUNTA($H$9:$Q$9)</f>
        <v>6</v>
      </c>
      <c r="BF116" s="181">
        <f>12*DEVSQ(AS116:BB116)</f>
        <v>0</v>
      </c>
      <c r="BG116" s="181"/>
      <c r="BH116" s="181">
        <f>BD116^2*(BE116^3-BE116)</f>
        <v>353010</v>
      </c>
      <c r="BI116" s="181"/>
      <c r="BK116">
        <f>BF116/BH116</f>
        <v>0</v>
      </c>
      <c r="BL116">
        <f>ROUND(BK116, 2)</f>
        <v>0</v>
      </c>
      <c r="BM116">
        <f>BL116*100</f>
        <v>0</v>
      </c>
      <c r="BQ116">
        <v>63</v>
      </c>
      <c r="BR116" t="s">
        <v>235</v>
      </c>
    </row>
    <row r="117" spans="1:70">
      <c r="A117" s="42"/>
      <c r="BQ117">
        <v>64</v>
      </c>
      <c r="BR117" t="s">
        <v>236</v>
      </c>
    </row>
    <row r="118" spans="1:70">
      <c r="A118" s="42"/>
      <c r="AS118" s="127" t="s">
        <v>129</v>
      </c>
      <c r="AT118" s="127"/>
      <c r="AU118" s="127"/>
      <c r="AV118" s="127"/>
      <c r="AW118" s="127"/>
      <c r="AX118" s="127"/>
      <c r="AY118" s="127"/>
      <c r="AZ118" s="127"/>
      <c r="BA118" s="127"/>
      <c r="BB118" s="127"/>
      <c r="BD118" s="41" t="s">
        <v>120</v>
      </c>
      <c r="BE118" s="41" t="s">
        <v>121</v>
      </c>
      <c r="BF118" s="127" t="s">
        <v>122</v>
      </c>
      <c r="BG118" s="127"/>
      <c r="BH118" s="127" t="s">
        <v>123</v>
      </c>
      <c r="BI118" s="127"/>
      <c r="BK118" s="127" t="s">
        <v>134</v>
      </c>
      <c r="BL118" s="127"/>
      <c r="BM118" s="127"/>
      <c r="BQ118">
        <v>65</v>
      </c>
      <c r="BR118" t="s">
        <v>237</v>
      </c>
    </row>
    <row r="119" spans="1:70">
      <c r="A119" s="42"/>
      <c r="AS119" s="85" t="s">
        <v>66</v>
      </c>
      <c r="AT119" s="85" t="s">
        <v>67</v>
      </c>
      <c r="AU119" s="85" t="s">
        <v>68</v>
      </c>
      <c r="AV119" s="85" t="s">
        <v>69</v>
      </c>
      <c r="AW119" s="85" t="s">
        <v>70</v>
      </c>
      <c r="AX119" s="85" t="s">
        <v>71</v>
      </c>
      <c r="AY119" s="85" t="s">
        <v>72</v>
      </c>
      <c r="AZ119" s="85" t="s">
        <v>73</v>
      </c>
      <c r="BA119" s="85" t="s">
        <v>74</v>
      </c>
      <c r="BB119" s="85" t="s">
        <v>75</v>
      </c>
      <c r="BD119" s="84" t="s">
        <v>124</v>
      </c>
      <c r="BE119" s="85" t="s">
        <v>125</v>
      </c>
      <c r="BF119" s="180" t="s">
        <v>126</v>
      </c>
      <c r="BG119" s="180"/>
      <c r="BH119" s="180" t="s">
        <v>127</v>
      </c>
      <c r="BI119" s="180"/>
      <c r="BK119" s="52" t="s">
        <v>135</v>
      </c>
      <c r="BL119" s="52" t="s">
        <v>136</v>
      </c>
      <c r="BM119" s="52" t="s">
        <v>137</v>
      </c>
      <c r="BQ119">
        <v>66</v>
      </c>
      <c r="BR119" t="s">
        <v>238</v>
      </c>
    </row>
    <row r="120" spans="1:70">
      <c r="A120" s="42"/>
      <c r="AS120">
        <f>SUMIFS(H$9:H$108, $S$9:$S$108, 14)</f>
        <v>0</v>
      </c>
      <c r="AT120">
        <f t="shared" ref="AT120:BB120" si="13">SUMIFS(I$9:I$108, $S$9:$S$108, 14)</f>
        <v>0</v>
      </c>
      <c r="AU120">
        <f t="shared" si="13"/>
        <v>0</v>
      </c>
      <c r="AV120">
        <f t="shared" si="13"/>
        <v>0</v>
      </c>
      <c r="AW120">
        <f t="shared" si="13"/>
        <v>0</v>
      </c>
      <c r="AX120">
        <f t="shared" si="13"/>
        <v>0</v>
      </c>
      <c r="AY120">
        <f t="shared" si="13"/>
        <v>0</v>
      </c>
      <c r="AZ120">
        <f t="shared" si="13"/>
        <v>0</v>
      </c>
      <c r="BA120">
        <f t="shared" si="13"/>
        <v>0</v>
      </c>
      <c r="BB120">
        <f t="shared" si="13"/>
        <v>0</v>
      </c>
      <c r="BD120">
        <f>COUNTA($R$9:$R$1048575)</f>
        <v>41</v>
      </c>
      <c r="BE120">
        <f>COUNTA($H$9:$Q$9)</f>
        <v>6</v>
      </c>
      <c r="BF120" s="181">
        <f>12*DEVSQ(AS120:BB120)</f>
        <v>0</v>
      </c>
      <c r="BG120" s="181"/>
      <c r="BH120" s="181">
        <f>BD120^2*(BE120^3-BE120)</f>
        <v>353010</v>
      </c>
      <c r="BI120" s="181"/>
      <c r="BK120">
        <f>BF120/BH120</f>
        <v>0</v>
      </c>
      <c r="BL120">
        <f>ROUND(BK120, 2)</f>
        <v>0</v>
      </c>
      <c r="BM120">
        <f>BL120*100</f>
        <v>0</v>
      </c>
      <c r="BQ120">
        <v>67</v>
      </c>
      <c r="BR120" t="s">
        <v>239</v>
      </c>
    </row>
    <row r="121" spans="1:70">
      <c r="A121" s="42"/>
      <c r="BQ121">
        <v>68</v>
      </c>
      <c r="BR121" t="s">
        <v>240</v>
      </c>
    </row>
    <row r="122" spans="1:70">
      <c r="A122" s="42"/>
      <c r="AS122" s="127" t="s">
        <v>129</v>
      </c>
      <c r="AT122" s="127"/>
      <c r="AU122" s="127"/>
      <c r="AV122" s="127"/>
      <c r="AW122" s="127"/>
      <c r="AX122" s="127"/>
      <c r="AY122" s="127"/>
      <c r="AZ122" s="127"/>
      <c r="BA122" s="127"/>
      <c r="BB122" s="127"/>
      <c r="BD122" s="41" t="s">
        <v>120</v>
      </c>
      <c r="BE122" s="41" t="s">
        <v>121</v>
      </c>
      <c r="BF122" s="127" t="s">
        <v>122</v>
      </c>
      <c r="BG122" s="127"/>
      <c r="BH122" s="127" t="s">
        <v>123</v>
      </c>
      <c r="BI122" s="127"/>
      <c r="BK122" s="127" t="s">
        <v>134</v>
      </c>
      <c r="BL122" s="127"/>
      <c r="BM122" s="127"/>
      <c r="BQ122">
        <v>69</v>
      </c>
      <c r="BR122" t="s">
        <v>241</v>
      </c>
    </row>
    <row r="123" spans="1:70">
      <c r="A123" s="42"/>
      <c r="AS123" s="85" t="s">
        <v>66</v>
      </c>
      <c r="AT123" s="85" t="s">
        <v>67</v>
      </c>
      <c r="AU123" s="85" t="s">
        <v>68</v>
      </c>
      <c r="AV123" s="85" t="s">
        <v>69</v>
      </c>
      <c r="AW123" s="85" t="s">
        <v>70</v>
      </c>
      <c r="AX123" s="85" t="s">
        <v>71</v>
      </c>
      <c r="AY123" s="85" t="s">
        <v>72</v>
      </c>
      <c r="AZ123" s="85" t="s">
        <v>73</v>
      </c>
      <c r="BA123" s="85" t="s">
        <v>74</v>
      </c>
      <c r="BB123" s="85" t="s">
        <v>75</v>
      </c>
      <c r="BD123" s="84" t="s">
        <v>124</v>
      </c>
      <c r="BE123" s="85" t="s">
        <v>125</v>
      </c>
      <c r="BF123" s="180" t="s">
        <v>126</v>
      </c>
      <c r="BG123" s="180"/>
      <c r="BH123" s="180" t="s">
        <v>127</v>
      </c>
      <c r="BI123" s="180"/>
      <c r="BK123" s="52" t="s">
        <v>135</v>
      </c>
      <c r="BL123" s="52" t="s">
        <v>136</v>
      </c>
      <c r="BM123" s="52" t="s">
        <v>137</v>
      </c>
      <c r="BQ123">
        <v>70</v>
      </c>
      <c r="BR123" t="s">
        <v>242</v>
      </c>
    </row>
    <row r="124" spans="1:70">
      <c r="A124" s="42"/>
      <c r="AS124">
        <f>SUMIFS(H$9:H$108, $S$9:$S$108, 15)</f>
        <v>0</v>
      </c>
      <c r="AT124">
        <f t="shared" ref="AT124:BB124" si="14">SUMIFS(I$9:I$108, $S$9:$S$108, 15)</f>
        <v>0</v>
      </c>
      <c r="AU124">
        <f t="shared" si="14"/>
        <v>0</v>
      </c>
      <c r="AV124">
        <f t="shared" si="14"/>
        <v>0</v>
      </c>
      <c r="AW124">
        <f t="shared" si="14"/>
        <v>0</v>
      </c>
      <c r="AX124">
        <f t="shared" si="14"/>
        <v>0</v>
      </c>
      <c r="AY124">
        <f t="shared" si="14"/>
        <v>0</v>
      </c>
      <c r="AZ124">
        <f t="shared" si="14"/>
        <v>0</v>
      </c>
      <c r="BA124">
        <f t="shared" si="14"/>
        <v>0</v>
      </c>
      <c r="BB124">
        <f t="shared" si="14"/>
        <v>0</v>
      </c>
      <c r="BD124">
        <f>COUNTA($R$9:$R$1048575)</f>
        <v>41</v>
      </c>
      <c r="BE124">
        <f>COUNTA($H$9:$Q$9)</f>
        <v>6</v>
      </c>
      <c r="BF124" s="181">
        <f>12*DEVSQ(AS124:BB124)</f>
        <v>0</v>
      </c>
      <c r="BG124" s="181"/>
      <c r="BH124" s="181">
        <f>BD124^2*(BE124^3-BE124)</f>
        <v>353010</v>
      </c>
      <c r="BI124" s="181"/>
      <c r="BK124">
        <f>BF124/BH124</f>
        <v>0</v>
      </c>
      <c r="BL124">
        <f>ROUND(BK124, 2)</f>
        <v>0</v>
      </c>
      <c r="BM124">
        <f>BL124*100</f>
        <v>0</v>
      </c>
      <c r="BQ124">
        <v>71</v>
      </c>
      <c r="BR124" t="s">
        <v>243</v>
      </c>
    </row>
    <row r="125" spans="1:70">
      <c r="A125" s="42"/>
      <c r="BQ125">
        <v>72</v>
      </c>
      <c r="BR125" t="s">
        <v>244</v>
      </c>
    </row>
    <row r="126" spans="1:70">
      <c r="A126" s="42"/>
      <c r="AS126" s="127" t="s">
        <v>129</v>
      </c>
      <c r="AT126" s="127"/>
      <c r="AU126" s="127"/>
      <c r="AV126" s="127"/>
      <c r="AW126" s="127"/>
      <c r="AX126" s="127"/>
      <c r="AY126" s="127"/>
      <c r="AZ126" s="127"/>
      <c r="BA126" s="127"/>
      <c r="BB126" s="127"/>
      <c r="BD126" s="41" t="s">
        <v>120</v>
      </c>
      <c r="BE126" s="41" t="s">
        <v>121</v>
      </c>
      <c r="BF126" s="127" t="s">
        <v>122</v>
      </c>
      <c r="BG126" s="127"/>
      <c r="BH126" s="127" t="s">
        <v>123</v>
      </c>
      <c r="BI126" s="127"/>
      <c r="BK126" s="127" t="s">
        <v>134</v>
      </c>
      <c r="BL126" s="127"/>
      <c r="BM126" s="127"/>
      <c r="BQ126">
        <v>73</v>
      </c>
      <c r="BR126" t="s">
        <v>245</v>
      </c>
    </row>
    <row r="127" spans="1:70">
      <c r="A127" s="42"/>
      <c r="AS127" s="85" t="s">
        <v>66</v>
      </c>
      <c r="AT127" s="85" t="s">
        <v>67</v>
      </c>
      <c r="AU127" s="85" t="s">
        <v>68</v>
      </c>
      <c r="AV127" s="85" t="s">
        <v>69</v>
      </c>
      <c r="AW127" s="85" t="s">
        <v>70</v>
      </c>
      <c r="AX127" s="85" t="s">
        <v>71</v>
      </c>
      <c r="AY127" s="85" t="s">
        <v>72</v>
      </c>
      <c r="AZ127" s="85" t="s">
        <v>73</v>
      </c>
      <c r="BA127" s="85" t="s">
        <v>74</v>
      </c>
      <c r="BB127" s="85" t="s">
        <v>75</v>
      </c>
      <c r="BD127" s="84" t="s">
        <v>124</v>
      </c>
      <c r="BE127" s="85" t="s">
        <v>125</v>
      </c>
      <c r="BF127" s="180" t="s">
        <v>126</v>
      </c>
      <c r="BG127" s="180"/>
      <c r="BH127" s="180" t="s">
        <v>127</v>
      </c>
      <c r="BI127" s="180"/>
      <c r="BK127" s="52" t="s">
        <v>135</v>
      </c>
      <c r="BL127" s="52" t="s">
        <v>136</v>
      </c>
      <c r="BM127" s="52" t="s">
        <v>137</v>
      </c>
      <c r="BQ127">
        <v>74</v>
      </c>
      <c r="BR127" t="s">
        <v>246</v>
      </c>
    </row>
    <row r="128" spans="1:70">
      <c r="A128" s="42"/>
      <c r="AS128">
        <f>SUMIFS(H$9:H$108, $S$9:$S$108, 16)</f>
        <v>0</v>
      </c>
      <c r="AT128">
        <f t="shared" ref="AT128:BB128" si="15">SUMIFS(I$9:I$108, $S$9:$S$108, 16)</f>
        <v>0</v>
      </c>
      <c r="AU128">
        <f t="shared" si="15"/>
        <v>0</v>
      </c>
      <c r="AV128">
        <f t="shared" si="15"/>
        <v>0</v>
      </c>
      <c r="AW128">
        <f t="shared" si="15"/>
        <v>0</v>
      </c>
      <c r="AX128">
        <f t="shared" si="15"/>
        <v>0</v>
      </c>
      <c r="AY128">
        <f t="shared" si="15"/>
        <v>0</v>
      </c>
      <c r="AZ128">
        <f t="shared" si="15"/>
        <v>0</v>
      </c>
      <c r="BA128">
        <f t="shared" si="15"/>
        <v>0</v>
      </c>
      <c r="BB128">
        <f t="shared" si="15"/>
        <v>0</v>
      </c>
      <c r="BD128">
        <f>COUNTA($R$9:$R$1048575)</f>
        <v>41</v>
      </c>
      <c r="BE128">
        <f>COUNTA($H$9:$Q$9)</f>
        <v>6</v>
      </c>
      <c r="BF128" s="181">
        <f>12*DEVSQ(AS128:BB128)</f>
        <v>0</v>
      </c>
      <c r="BG128" s="181"/>
      <c r="BH128" s="181">
        <f>BD128^2*(BE128^3-BE128)</f>
        <v>353010</v>
      </c>
      <c r="BI128" s="181"/>
      <c r="BK128">
        <f>BF128/BH128</f>
        <v>0</v>
      </c>
      <c r="BL128">
        <f>ROUND(BK128, 2)</f>
        <v>0</v>
      </c>
      <c r="BM128">
        <f>BL128*100</f>
        <v>0</v>
      </c>
      <c r="BQ128">
        <v>75</v>
      </c>
      <c r="BR128" t="s">
        <v>247</v>
      </c>
    </row>
    <row r="129" spans="1:70">
      <c r="A129" s="42"/>
      <c r="BQ129">
        <v>76</v>
      </c>
      <c r="BR129" t="s">
        <v>248</v>
      </c>
    </row>
    <row r="130" spans="1:70">
      <c r="A130" s="42"/>
      <c r="AS130" s="127" t="s">
        <v>129</v>
      </c>
      <c r="AT130" s="127"/>
      <c r="AU130" s="127"/>
      <c r="AV130" s="127"/>
      <c r="AW130" s="127"/>
      <c r="AX130" s="127"/>
      <c r="AY130" s="127"/>
      <c r="AZ130" s="127"/>
      <c r="BA130" s="127"/>
      <c r="BB130" s="127"/>
      <c r="BD130" s="41" t="s">
        <v>120</v>
      </c>
      <c r="BE130" s="41" t="s">
        <v>121</v>
      </c>
      <c r="BF130" s="127" t="s">
        <v>122</v>
      </c>
      <c r="BG130" s="127"/>
      <c r="BH130" s="127" t="s">
        <v>123</v>
      </c>
      <c r="BI130" s="127"/>
      <c r="BK130" s="127" t="s">
        <v>134</v>
      </c>
      <c r="BL130" s="127"/>
      <c r="BM130" s="127"/>
      <c r="BQ130">
        <v>77</v>
      </c>
      <c r="BR130" t="s">
        <v>249</v>
      </c>
    </row>
    <row r="131" spans="1:70">
      <c r="A131" s="42"/>
      <c r="AS131" s="85" t="s">
        <v>66</v>
      </c>
      <c r="AT131" s="85" t="s">
        <v>67</v>
      </c>
      <c r="AU131" s="85" t="s">
        <v>68</v>
      </c>
      <c r="AV131" s="85" t="s">
        <v>69</v>
      </c>
      <c r="AW131" s="85" t="s">
        <v>70</v>
      </c>
      <c r="AX131" s="85" t="s">
        <v>71</v>
      </c>
      <c r="AY131" s="85" t="s">
        <v>72</v>
      </c>
      <c r="AZ131" s="85" t="s">
        <v>73</v>
      </c>
      <c r="BA131" s="85" t="s">
        <v>74</v>
      </c>
      <c r="BB131" s="85" t="s">
        <v>75</v>
      </c>
      <c r="BD131" s="84" t="s">
        <v>124</v>
      </c>
      <c r="BE131" s="85" t="s">
        <v>125</v>
      </c>
      <c r="BF131" s="180" t="s">
        <v>126</v>
      </c>
      <c r="BG131" s="180"/>
      <c r="BH131" s="180" t="s">
        <v>127</v>
      </c>
      <c r="BI131" s="180"/>
      <c r="BK131" s="52" t="s">
        <v>135</v>
      </c>
      <c r="BL131" s="52" t="s">
        <v>136</v>
      </c>
      <c r="BM131" s="52" t="s">
        <v>137</v>
      </c>
      <c r="BQ131">
        <v>78</v>
      </c>
      <c r="BR131" t="s">
        <v>250</v>
      </c>
    </row>
    <row r="132" spans="1:70">
      <c r="A132" s="42"/>
      <c r="AS132">
        <f>SUMIFS(H$9:H$108, $S$9:$S$108, 17)</f>
        <v>0</v>
      </c>
      <c r="AT132">
        <f t="shared" ref="AT132:BB132" si="16">SUMIFS(I$9:I$108, $S$9:$S$108, 17)</f>
        <v>0</v>
      </c>
      <c r="AU132">
        <f t="shared" si="16"/>
        <v>0</v>
      </c>
      <c r="AV132">
        <f t="shared" si="16"/>
        <v>0</v>
      </c>
      <c r="AW132">
        <f t="shared" si="16"/>
        <v>0</v>
      </c>
      <c r="AX132">
        <f t="shared" si="16"/>
        <v>0</v>
      </c>
      <c r="AY132">
        <f t="shared" si="16"/>
        <v>0</v>
      </c>
      <c r="AZ132">
        <f t="shared" si="16"/>
        <v>0</v>
      </c>
      <c r="BA132">
        <f t="shared" si="16"/>
        <v>0</v>
      </c>
      <c r="BB132">
        <f t="shared" si="16"/>
        <v>0</v>
      </c>
      <c r="BD132">
        <f>COUNTA($R$9:$R$1048575)</f>
        <v>41</v>
      </c>
      <c r="BE132">
        <f>COUNTA($H$9:$Q$9)</f>
        <v>6</v>
      </c>
      <c r="BF132" s="181">
        <f>12*DEVSQ(AS132:BB132)</f>
        <v>0</v>
      </c>
      <c r="BG132" s="181"/>
      <c r="BH132" s="181">
        <f>BD132^2*(BE132^3-BE132)</f>
        <v>353010</v>
      </c>
      <c r="BI132" s="181"/>
      <c r="BK132">
        <f>BF132/BH132</f>
        <v>0</v>
      </c>
      <c r="BL132">
        <f>ROUND(BK132, 2)</f>
        <v>0</v>
      </c>
      <c r="BM132">
        <f>BL132*100</f>
        <v>0</v>
      </c>
      <c r="BQ132">
        <v>79</v>
      </c>
      <c r="BR132" t="s">
        <v>251</v>
      </c>
    </row>
    <row r="133" spans="1:70">
      <c r="A133" s="42"/>
      <c r="BQ133">
        <v>80</v>
      </c>
      <c r="BR133" t="s">
        <v>252</v>
      </c>
    </row>
    <row r="134" spans="1:70">
      <c r="A134" s="42"/>
      <c r="AS134" s="127" t="s">
        <v>129</v>
      </c>
      <c r="AT134" s="127"/>
      <c r="AU134" s="127"/>
      <c r="AV134" s="127"/>
      <c r="AW134" s="127"/>
      <c r="AX134" s="127"/>
      <c r="AY134" s="127"/>
      <c r="AZ134" s="127"/>
      <c r="BA134" s="127"/>
      <c r="BB134" s="127"/>
      <c r="BD134" s="41" t="s">
        <v>120</v>
      </c>
      <c r="BE134" s="41" t="s">
        <v>121</v>
      </c>
      <c r="BF134" s="127" t="s">
        <v>122</v>
      </c>
      <c r="BG134" s="127"/>
      <c r="BH134" s="127" t="s">
        <v>123</v>
      </c>
      <c r="BI134" s="127"/>
      <c r="BK134" s="127" t="s">
        <v>134</v>
      </c>
      <c r="BL134" s="127"/>
      <c r="BM134" s="127"/>
      <c r="BQ134">
        <v>81</v>
      </c>
      <c r="BR134" t="s">
        <v>253</v>
      </c>
    </row>
    <row r="135" spans="1:70">
      <c r="A135" s="42"/>
      <c r="AS135" s="85" t="s">
        <v>66</v>
      </c>
      <c r="AT135" s="85" t="s">
        <v>67</v>
      </c>
      <c r="AU135" s="85" t="s">
        <v>68</v>
      </c>
      <c r="AV135" s="85" t="s">
        <v>69</v>
      </c>
      <c r="AW135" s="85" t="s">
        <v>70</v>
      </c>
      <c r="AX135" s="85" t="s">
        <v>71</v>
      </c>
      <c r="AY135" s="85" t="s">
        <v>72</v>
      </c>
      <c r="AZ135" s="85" t="s">
        <v>73</v>
      </c>
      <c r="BA135" s="85" t="s">
        <v>74</v>
      </c>
      <c r="BB135" s="85" t="s">
        <v>75</v>
      </c>
      <c r="BD135" s="84" t="s">
        <v>124</v>
      </c>
      <c r="BE135" s="85" t="s">
        <v>125</v>
      </c>
      <c r="BF135" s="180" t="s">
        <v>126</v>
      </c>
      <c r="BG135" s="180"/>
      <c r="BH135" s="180" t="s">
        <v>127</v>
      </c>
      <c r="BI135" s="180"/>
      <c r="BK135" s="52" t="s">
        <v>135</v>
      </c>
      <c r="BL135" s="52" t="s">
        <v>136</v>
      </c>
      <c r="BM135" s="52" t="s">
        <v>137</v>
      </c>
      <c r="BQ135">
        <v>82</v>
      </c>
      <c r="BR135" t="s">
        <v>254</v>
      </c>
    </row>
    <row r="136" spans="1:70">
      <c r="A136" s="42"/>
      <c r="AS136">
        <f>SUMIFS(H$9:H$108, $S$9:$S$108, 18)</f>
        <v>0</v>
      </c>
      <c r="AT136">
        <f t="shared" ref="AT136:BB136" si="17">SUMIFS(I$9:I$108, $S$9:$S$108, 18)</f>
        <v>0</v>
      </c>
      <c r="AU136">
        <f t="shared" si="17"/>
        <v>0</v>
      </c>
      <c r="AV136">
        <f t="shared" si="17"/>
        <v>0</v>
      </c>
      <c r="AW136">
        <f t="shared" si="17"/>
        <v>0</v>
      </c>
      <c r="AX136">
        <f t="shared" si="17"/>
        <v>0</v>
      </c>
      <c r="AY136">
        <f t="shared" si="17"/>
        <v>0</v>
      </c>
      <c r="AZ136">
        <f t="shared" si="17"/>
        <v>0</v>
      </c>
      <c r="BA136">
        <f t="shared" si="17"/>
        <v>0</v>
      </c>
      <c r="BB136">
        <f t="shared" si="17"/>
        <v>0</v>
      </c>
      <c r="BD136">
        <f>COUNTA($R$9:$R$1048575)</f>
        <v>41</v>
      </c>
      <c r="BE136">
        <f>COUNTA($H$9:$Q$9)</f>
        <v>6</v>
      </c>
      <c r="BF136" s="181">
        <f>12*DEVSQ(AS136:BB136)</f>
        <v>0</v>
      </c>
      <c r="BG136" s="181"/>
      <c r="BH136" s="181">
        <f>BD136^2*(BE136^3-BE136)</f>
        <v>353010</v>
      </c>
      <c r="BI136" s="181"/>
      <c r="BK136">
        <f>BF136/BH136</f>
        <v>0</v>
      </c>
      <c r="BL136">
        <f>ROUND(BK136, 2)</f>
        <v>0</v>
      </c>
      <c r="BM136">
        <f>BL136*100</f>
        <v>0</v>
      </c>
      <c r="BQ136">
        <v>83</v>
      </c>
      <c r="BR136" t="s">
        <v>255</v>
      </c>
    </row>
    <row r="137" spans="1:70">
      <c r="A137" s="42"/>
      <c r="BQ137">
        <v>84</v>
      </c>
      <c r="BR137" t="s">
        <v>256</v>
      </c>
    </row>
    <row r="138" spans="1:70">
      <c r="A138" s="42"/>
      <c r="AS138" s="127" t="s">
        <v>129</v>
      </c>
      <c r="AT138" s="127"/>
      <c r="AU138" s="127"/>
      <c r="AV138" s="127"/>
      <c r="AW138" s="127"/>
      <c r="AX138" s="127"/>
      <c r="AY138" s="127"/>
      <c r="AZ138" s="127"/>
      <c r="BA138" s="127"/>
      <c r="BB138" s="127"/>
      <c r="BD138" s="41" t="s">
        <v>120</v>
      </c>
      <c r="BE138" s="41" t="s">
        <v>121</v>
      </c>
      <c r="BF138" s="127" t="s">
        <v>122</v>
      </c>
      <c r="BG138" s="127"/>
      <c r="BH138" s="127" t="s">
        <v>123</v>
      </c>
      <c r="BI138" s="127"/>
      <c r="BK138" s="127" t="s">
        <v>134</v>
      </c>
      <c r="BL138" s="127"/>
      <c r="BM138" s="127"/>
      <c r="BQ138">
        <v>85</v>
      </c>
      <c r="BR138" t="s">
        <v>257</v>
      </c>
    </row>
    <row r="139" spans="1:70">
      <c r="A139" s="42"/>
      <c r="AS139" s="85" t="s">
        <v>66</v>
      </c>
      <c r="AT139" s="85" t="s">
        <v>67</v>
      </c>
      <c r="AU139" s="85" t="s">
        <v>68</v>
      </c>
      <c r="AV139" s="85" t="s">
        <v>69</v>
      </c>
      <c r="AW139" s="85" t="s">
        <v>70</v>
      </c>
      <c r="AX139" s="85" t="s">
        <v>71</v>
      </c>
      <c r="AY139" s="85" t="s">
        <v>72</v>
      </c>
      <c r="AZ139" s="85" t="s">
        <v>73</v>
      </c>
      <c r="BA139" s="85" t="s">
        <v>74</v>
      </c>
      <c r="BB139" s="85" t="s">
        <v>75</v>
      </c>
      <c r="BD139" s="84" t="s">
        <v>124</v>
      </c>
      <c r="BE139" s="85" t="s">
        <v>125</v>
      </c>
      <c r="BF139" s="180" t="s">
        <v>126</v>
      </c>
      <c r="BG139" s="180"/>
      <c r="BH139" s="180" t="s">
        <v>127</v>
      </c>
      <c r="BI139" s="180"/>
      <c r="BK139" s="52" t="s">
        <v>135</v>
      </c>
      <c r="BL139" s="52" t="s">
        <v>136</v>
      </c>
      <c r="BM139" s="52" t="s">
        <v>137</v>
      </c>
      <c r="BQ139">
        <v>86</v>
      </c>
      <c r="BR139" t="s">
        <v>258</v>
      </c>
    </row>
    <row r="140" spans="1:70">
      <c r="A140" s="42"/>
      <c r="AS140">
        <f>SUMIFS(H$9:H$108, $S$9:$S$108, 19)</f>
        <v>0</v>
      </c>
      <c r="AT140">
        <f t="shared" ref="AT140:BB140" si="18">SUMIFS(I$9:I$108, $S$9:$S$108, 19)</f>
        <v>0</v>
      </c>
      <c r="AU140">
        <f t="shared" si="18"/>
        <v>0</v>
      </c>
      <c r="AV140">
        <f t="shared" si="18"/>
        <v>0</v>
      </c>
      <c r="AW140">
        <f t="shared" si="18"/>
        <v>0</v>
      </c>
      <c r="AX140">
        <f t="shared" si="18"/>
        <v>0</v>
      </c>
      <c r="AY140">
        <f t="shared" si="18"/>
        <v>0</v>
      </c>
      <c r="AZ140">
        <f t="shared" si="18"/>
        <v>0</v>
      </c>
      <c r="BA140">
        <f t="shared" si="18"/>
        <v>0</v>
      </c>
      <c r="BB140">
        <f t="shared" si="18"/>
        <v>0</v>
      </c>
      <c r="BD140">
        <f>COUNTA($R$9:$R$1048575)</f>
        <v>41</v>
      </c>
      <c r="BE140">
        <f>COUNTA($H$9:$Q$9)</f>
        <v>6</v>
      </c>
      <c r="BF140" s="181">
        <f>12*DEVSQ(AS140:BB140)</f>
        <v>0</v>
      </c>
      <c r="BG140" s="181"/>
      <c r="BH140" s="181">
        <f>BD140^2*(BE140^3-BE140)</f>
        <v>353010</v>
      </c>
      <c r="BI140" s="181"/>
      <c r="BK140">
        <f>BF140/BH140</f>
        <v>0</v>
      </c>
      <c r="BL140">
        <f>ROUND(BK140, 2)</f>
        <v>0</v>
      </c>
      <c r="BM140">
        <f>BL140*100</f>
        <v>0</v>
      </c>
      <c r="BQ140">
        <v>87</v>
      </c>
      <c r="BR140" t="s">
        <v>259</v>
      </c>
    </row>
    <row r="141" spans="1:70">
      <c r="A141" s="42"/>
      <c r="BQ141">
        <v>88</v>
      </c>
      <c r="BR141" t="s">
        <v>260</v>
      </c>
    </row>
    <row r="142" spans="1:70">
      <c r="A142" s="42"/>
      <c r="AS142" s="127" t="s">
        <v>129</v>
      </c>
      <c r="AT142" s="127"/>
      <c r="AU142" s="127"/>
      <c r="AV142" s="127"/>
      <c r="AW142" s="127"/>
      <c r="AX142" s="127"/>
      <c r="AY142" s="127"/>
      <c r="AZ142" s="127"/>
      <c r="BA142" s="127"/>
      <c r="BB142" s="127"/>
      <c r="BD142" s="41" t="s">
        <v>120</v>
      </c>
      <c r="BE142" s="41" t="s">
        <v>121</v>
      </c>
      <c r="BF142" s="127" t="s">
        <v>122</v>
      </c>
      <c r="BG142" s="127"/>
      <c r="BH142" s="127" t="s">
        <v>123</v>
      </c>
      <c r="BI142" s="127"/>
      <c r="BK142" s="127" t="s">
        <v>134</v>
      </c>
      <c r="BL142" s="127"/>
      <c r="BM142" s="127"/>
      <c r="BQ142">
        <v>89</v>
      </c>
      <c r="BR142" t="s">
        <v>261</v>
      </c>
    </row>
    <row r="143" spans="1:70">
      <c r="A143" s="42"/>
      <c r="AS143" s="85" t="s">
        <v>66</v>
      </c>
      <c r="AT143" s="85" t="s">
        <v>67</v>
      </c>
      <c r="AU143" s="85" t="s">
        <v>68</v>
      </c>
      <c r="AV143" s="85" t="s">
        <v>69</v>
      </c>
      <c r="AW143" s="85" t="s">
        <v>70</v>
      </c>
      <c r="AX143" s="85" t="s">
        <v>71</v>
      </c>
      <c r="AY143" s="85" t="s">
        <v>72</v>
      </c>
      <c r="AZ143" s="85" t="s">
        <v>73</v>
      </c>
      <c r="BA143" s="85" t="s">
        <v>74</v>
      </c>
      <c r="BB143" s="85" t="s">
        <v>75</v>
      </c>
      <c r="BD143" s="84" t="s">
        <v>124</v>
      </c>
      <c r="BE143" s="85" t="s">
        <v>125</v>
      </c>
      <c r="BF143" s="180" t="s">
        <v>126</v>
      </c>
      <c r="BG143" s="180"/>
      <c r="BH143" s="180" t="s">
        <v>127</v>
      </c>
      <c r="BI143" s="180"/>
      <c r="BK143" s="52" t="s">
        <v>135</v>
      </c>
      <c r="BL143" s="52" t="s">
        <v>136</v>
      </c>
      <c r="BM143" s="52" t="s">
        <v>137</v>
      </c>
      <c r="BQ143">
        <v>90</v>
      </c>
      <c r="BR143" t="s">
        <v>262</v>
      </c>
    </row>
    <row r="144" spans="1:70">
      <c r="A144" s="42"/>
      <c r="AS144">
        <f>SUMIFS(H$9:H$108, $S$9:$S$108, 20)</f>
        <v>0</v>
      </c>
      <c r="AT144">
        <f t="shared" ref="AT144:BB144" si="19">SUMIFS(I$9:I$108, $S$9:$S$108, 20)</f>
        <v>0</v>
      </c>
      <c r="AU144">
        <f t="shared" si="19"/>
        <v>0</v>
      </c>
      <c r="AV144">
        <f t="shared" si="19"/>
        <v>0</v>
      </c>
      <c r="AW144">
        <f t="shared" si="19"/>
        <v>0</v>
      </c>
      <c r="AX144">
        <f t="shared" si="19"/>
        <v>0</v>
      </c>
      <c r="AY144">
        <f t="shared" si="19"/>
        <v>0</v>
      </c>
      <c r="AZ144">
        <f t="shared" si="19"/>
        <v>0</v>
      </c>
      <c r="BA144">
        <f t="shared" si="19"/>
        <v>0</v>
      </c>
      <c r="BB144">
        <f t="shared" si="19"/>
        <v>0</v>
      </c>
      <c r="BD144">
        <f>COUNTA($R$9:$R$1048575)</f>
        <v>41</v>
      </c>
      <c r="BE144">
        <f>COUNTA($H$9:$Q$9)</f>
        <v>6</v>
      </c>
      <c r="BF144" s="181">
        <f>12*DEVSQ(AS144:BB144)</f>
        <v>0</v>
      </c>
      <c r="BG144" s="181"/>
      <c r="BH144" s="181">
        <f>BD144^2*(BE144^3-BE144)</f>
        <v>353010</v>
      </c>
      <c r="BI144" s="181"/>
      <c r="BK144">
        <f>BF144/BH144</f>
        <v>0</v>
      </c>
      <c r="BL144">
        <f>ROUND(BK144, 2)</f>
        <v>0</v>
      </c>
      <c r="BM144">
        <f>BL144*100</f>
        <v>0</v>
      </c>
      <c r="BQ144">
        <v>91</v>
      </c>
      <c r="BR144" t="s">
        <v>263</v>
      </c>
    </row>
    <row r="145" spans="1:70">
      <c r="A145" s="42"/>
      <c r="BQ145">
        <v>92</v>
      </c>
      <c r="BR145" t="s">
        <v>264</v>
      </c>
    </row>
    <row r="146" spans="1:70">
      <c r="A146" s="42"/>
      <c r="BQ146">
        <v>93</v>
      </c>
      <c r="BR146" t="s">
        <v>265</v>
      </c>
    </row>
    <row r="147" spans="1:70">
      <c r="A147" s="42"/>
      <c r="BQ147">
        <v>94</v>
      </c>
      <c r="BR147" t="s">
        <v>266</v>
      </c>
    </row>
    <row r="148" spans="1:70">
      <c r="A148" s="42"/>
      <c r="BQ148">
        <v>95</v>
      </c>
      <c r="BR148" t="s">
        <v>267</v>
      </c>
    </row>
    <row r="149" spans="1:70">
      <c r="A149" s="42"/>
      <c r="BQ149">
        <v>96</v>
      </c>
      <c r="BR149" t="s">
        <v>268</v>
      </c>
    </row>
    <row r="150" spans="1:70">
      <c r="A150" s="42"/>
      <c r="BQ150">
        <v>97</v>
      </c>
      <c r="BR150" t="s">
        <v>269</v>
      </c>
    </row>
    <row r="151" spans="1:70">
      <c r="A151" s="42"/>
      <c r="BQ151">
        <v>98</v>
      </c>
      <c r="BR151" t="s">
        <v>270</v>
      </c>
    </row>
    <row r="152" spans="1:70">
      <c r="A152" s="42"/>
      <c r="BQ152">
        <v>99</v>
      </c>
      <c r="BR152" t="s">
        <v>271</v>
      </c>
    </row>
    <row r="153" spans="1:70">
      <c r="A153" s="42"/>
      <c r="BQ153">
        <v>100</v>
      </c>
      <c r="BR153" t="s">
        <v>272</v>
      </c>
    </row>
    <row r="154" spans="1:70">
      <c r="A154" s="42"/>
    </row>
    <row r="155" spans="1:70">
      <c r="A155" s="42"/>
    </row>
    <row r="156" spans="1:70">
      <c r="A156" s="42"/>
    </row>
    <row r="157" spans="1:70">
      <c r="A157" s="42"/>
    </row>
    <row r="158" spans="1:70">
      <c r="A158" s="42"/>
    </row>
    <row r="159" spans="1:70">
      <c r="A159" s="42"/>
    </row>
    <row r="160" spans="1:70">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sheetData>
  <mergeCells count="174">
    <mergeCell ref="G2:I3"/>
    <mergeCell ref="C12:E12"/>
    <mergeCell ref="C15:E15"/>
    <mergeCell ref="C18:E18"/>
    <mergeCell ref="BK70:BM70"/>
    <mergeCell ref="AR53:BK53"/>
    <mergeCell ref="AS66:BB66"/>
    <mergeCell ref="BF66:BG66"/>
    <mergeCell ref="BH66:BI66"/>
    <mergeCell ref="BK66:BM66"/>
    <mergeCell ref="BF67:BG67"/>
    <mergeCell ref="BH67:BI67"/>
    <mergeCell ref="C21:E21"/>
    <mergeCell ref="C24:E24"/>
    <mergeCell ref="C27:E27"/>
    <mergeCell ref="AD5:AE31"/>
    <mergeCell ref="U8:AA8"/>
    <mergeCell ref="U9:AA9"/>
    <mergeCell ref="U10:AA13"/>
    <mergeCell ref="H6:S7"/>
    <mergeCell ref="U18:AA19"/>
    <mergeCell ref="BF71:BG71"/>
    <mergeCell ref="BH71:BI71"/>
    <mergeCell ref="BF72:BG72"/>
    <mergeCell ref="BH72:BI72"/>
    <mergeCell ref="AS74:BB74"/>
    <mergeCell ref="BF74:BG74"/>
    <mergeCell ref="BH74:BI74"/>
    <mergeCell ref="BF68:BG68"/>
    <mergeCell ref="BH68:BI68"/>
    <mergeCell ref="AS70:BB70"/>
    <mergeCell ref="BF70:BG70"/>
    <mergeCell ref="BH70:BI70"/>
    <mergeCell ref="BF79:BG79"/>
    <mergeCell ref="BH79:BI79"/>
    <mergeCell ref="BF80:BG80"/>
    <mergeCell ref="BH80:BI80"/>
    <mergeCell ref="AS82:BB82"/>
    <mergeCell ref="BF82:BG82"/>
    <mergeCell ref="BH82:BI82"/>
    <mergeCell ref="BK74:BM74"/>
    <mergeCell ref="BF75:BG75"/>
    <mergeCell ref="BH75:BI75"/>
    <mergeCell ref="BF76:BG76"/>
    <mergeCell ref="BH76:BI76"/>
    <mergeCell ref="AS78:BB78"/>
    <mergeCell ref="BF78:BG78"/>
    <mergeCell ref="BH78:BI78"/>
    <mergeCell ref="BK78:BM78"/>
    <mergeCell ref="BF87:BG87"/>
    <mergeCell ref="BH87:BI87"/>
    <mergeCell ref="BF88:BG88"/>
    <mergeCell ref="BH88:BI88"/>
    <mergeCell ref="AS90:BB90"/>
    <mergeCell ref="BF90:BG90"/>
    <mergeCell ref="BH90:BI90"/>
    <mergeCell ref="BK82:BM82"/>
    <mergeCell ref="BF83:BG83"/>
    <mergeCell ref="BH83:BI83"/>
    <mergeCell ref="BF84:BG84"/>
    <mergeCell ref="BH84:BI84"/>
    <mergeCell ref="AS86:BB86"/>
    <mergeCell ref="BF86:BG86"/>
    <mergeCell ref="BH86:BI86"/>
    <mergeCell ref="BK86:BM86"/>
    <mergeCell ref="BF95:BG95"/>
    <mergeCell ref="BH95:BI95"/>
    <mergeCell ref="BF96:BG96"/>
    <mergeCell ref="BH96:BI96"/>
    <mergeCell ref="AS98:BB98"/>
    <mergeCell ref="BF98:BG98"/>
    <mergeCell ref="BH98:BI98"/>
    <mergeCell ref="BK90:BM90"/>
    <mergeCell ref="BF91:BG91"/>
    <mergeCell ref="BH91:BI91"/>
    <mergeCell ref="BF92:BG92"/>
    <mergeCell ref="BH92:BI92"/>
    <mergeCell ref="AS94:BB94"/>
    <mergeCell ref="BF94:BG94"/>
    <mergeCell ref="BH94:BI94"/>
    <mergeCell ref="BK94:BM94"/>
    <mergeCell ref="BF103:BG103"/>
    <mergeCell ref="BH103:BI103"/>
    <mergeCell ref="BF104:BG104"/>
    <mergeCell ref="BH104:BI104"/>
    <mergeCell ref="AS106:BB106"/>
    <mergeCell ref="BF106:BG106"/>
    <mergeCell ref="BH106:BI106"/>
    <mergeCell ref="BK98:BM98"/>
    <mergeCell ref="BF99:BG99"/>
    <mergeCell ref="BH99:BI99"/>
    <mergeCell ref="BF100:BG100"/>
    <mergeCell ref="BH100:BI100"/>
    <mergeCell ref="AS102:BB102"/>
    <mergeCell ref="BF102:BG102"/>
    <mergeCell ref="BH102:BI102"/>
    <mergeCell ref="BK102:BM102"/>
    <mergeCell ref="BF111:BG111"/>
    <mergeCell ref="BH111:BI111"/>
    <mergeCell ref="BF112:BG112"/>
    <mergeCell ref="BH112:BI112"/>
    <mergeCell ref="AS114:BB114"/>
    <mergeCell ref="BF114:BG114"/>
    <mergeCell ref="BH114:BI114"/>
    <mergeCell ref="BK106:BM106"/>
    <mergeCell ref="BF107:BG107"/>
    <mergeCell ref="BH107:BI107"/>
    <mergeCell ref="BF108:BG108"/>
    <mergeCell ref="BH108:BI108"/>
    <mergeCell ref="AS110:BB110"/>
    <mergeCell ref="BF110:BG110"/>
    <mergeCell ref="BH110:BI110"/>
    <mergeCell ref="BK110:BM110"/>
    <mergeCell ref="BF119:BG119"/>
    <mergeCell ref="BH119:BI119"/>
    <mergeCell ref="BF120:BG120"/>
    <mergeCell ref="BH120:BI120"/>
    <mergeCell ref="AS122:BB122"/>
    <mergeCell ref="BF122:BG122"/>
    <mergeCell ref="BH122:BI122"/>
    <mergeCell ref="BK114:BM114"/>
    <mergeCell ref="BF115:BG115"/>
    <mergeCell ref="BH115:BI115"/>
    <mergeCell ref="BF116:BG116"/>
    <mergeCell ref="BH116:BI116"/>
    <mergeCell ref="AS118:BB118"/>
    <mergeCell ref="BF118:BG118"/>
    <mergeCell ref="BH118:BI118"/>
    <mergeCell ref="BK118:BM118"/>
    <mergeCell ref="BF127:BG127"/>
    <mergeCell ref="BH127:BI127"/>
    <mergeCell ref="BF128:BG128"/>
    <mergeCell ref="BH128:BI128"/>
    <mergeCell ref="AS130:BB130"/>
    <mergeCell ref="BF130:BG130"/>
    <mergeCell ref="BH130:BI130"/>
    <mergeCell ref="BK122:BM122"/>
    <mergeCell ref="BF123:BG123"/>
    <mergeCell ref="BH123:BI123"/>
    <mergeCell ref="BF124:BG124"/>
    <mergeCell ref="BH124:BI124"/>
    <mergeCell ref="AS126:BB126"/>
    <mergeCell ref="BF126:BG126"/>
    <mergeCell ref="BH126:BI126"/>
    <mergeCell ref="BK126:BM126"/>
    <mergeCell ref="BK130:BM130"/>
    <mergeCell ref="BF131:BG131"/>
    <mergeCell ref="BH131:BI131"/>
    <mergeCell ref="BF132:BG132"/>
    <mergeCell ref="BH132:BI132"/>
    <mergeCell ref="AS134:BB134"/>
    <mergeCell ref="BF134:BG134"/>
    <mergeCell ref="BH134:BI134"/>
    <mergeCell ref="BK134:BM134"/>
    <mergeCell ref="AS142:BB142"/>
    <mergeCell ref="BF142:BG142"/>
    <mergeCell ref="BH142:BI142"/>
    <mergeCell ref="BK142:BM142"/>
    <mergeCell ref="BF135:BG135"/>
    <mergeCell ref="BH135:BI135"/>
    <mergeCell ref="BF136:BG136"/>
    <mergeCell ref="BH136:BI136"/>
    <mergeCell ref="AS138:BB138"/>
    <mergeCell ref="BF138:BG138"/>
    <mergeCell ref="BH138:BI138"/>
    <mergeCell ref="BF143:BG143"/>
    <mergeCell ref="BH143:BI143"/>
    <mergeCell ref="BF144:BG144"/>
    <mergeCell ref="BH144:BI144"/>
    <mergeCell ref="BK138:BM138"/>
    <mergeCell ref="BF139:BG139"/>
    <mergeCell ref="BH139:BI139"/>
    <mergeCell ref="BF140:BG140"/>
    <mergeCell ref="BH140:BI140"/>
  </mergeCells>
  <phoneticPr fontId="40" type="noConversion"/>
  <conditionalFormatting sqref="V22:Y22">
    <cfRule type="expression" dxfId="7" priority="11">
      <formula>$U10&lt;3</formula>
    </cfRule>
  </conditionalFormatting>
  <conditionalFormatting sqref="V23:Y23">
    <cfRule type="expression" dxfId="6" priority="12">
      <formula>$U10&lt;4</formula>
    </cfRule>
  </conditionalFormatting>
  <conditionalFormatting sqref="V24:Y24">
    <cfRule type="expression" dxfId="5" priority="13">
      <formula>$U10&lt;5</formula>
    </cfRule>
  </conditionalFormatting>
  <conditionalFormatting sqref="V25:Y25">
    <cfRule type="expression" dxfId="4" priority="14">
      <formula>$U10&lt;6</formula>
    </cfRule>
  </conditionalFormatting>
  <conditionalFormatting sqref="V26:Y26">
    <cfRule type="expression" dxfId="3" priority="15">
      <formula>$U10&lt;7</formula>
    </cfRule>
  </conditionalFormatting>
  <conditionalFormatting sqref="V27:Y27">
    <cfRule type="expression" dxfId="2" priority="16">
      <formula>$U10&lt;8</formula>
    </cfRule>
  </conditionalFormatting>
  <conditionalFormatting sqref="V28:Y28">
    <cfRule type="expression" dxfId="1" priority="17">
      <formula>$U10&lt;9</formula>
    </cfRule>
  </conditionalFormatting>
  <conditionalFormatting sqref="V29:Y29">
    <cfRule type="expression" dxfId="0" priority="18">
      <formula>$U10&lt;10</formula>
    </cfRule>
  </conditionalFormatting>
  <dataValidations count="1">
    <dataValidation type="list" allowBlank="1" showInputMessage="1" showErrorMessage="1" sqref="H9:K105" xr:uid="{83BD306A-B149-4AC4-9942-4845F05FC39A}">
      <formula1>"0,1,2,3,4,5"</formula1>
    </dataValidation>
  </dataValidations>
  <hyperlinks>
    <hyperlink ref="C15" location="'Data recording'!G2" display="Data recording" xr:uid="{F2CD9501-B368-4156-A54A-6379FDAE9276}"/>
    <hyperlink ref="C18" location="'Composite scale'!G2" display="Composite scale" xr:uid="{E8585C6C-BDD8-4657-A8AC-B1C080BD8C8C}"/>
    <hyperlink ref="C21" location="Visulization!G2" display="Visulization" xr:uid="{4A0D5454-447D-413E-AB44-CD8C130EA126}"/>
    <hyperlink ref="C24" location="Import!G2" display="Import data" xr:uid="{97FFB927-BC87-4D72-92B4-1E321D590D8D}"/>
    <hyperlink ref="C27" location="Subgroups!G2" display="Subgroups" xr:uid="{33C8E25E-6C86-42FE-A119-3B7430C646E5}"/>
    <hyperlink ref="B2" location="Help!G2" display="Help" xr:uid="{3F97990C-FAC6-439A-8B5C-E786C62ADD40}"/>
  </hyperlinks>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3:CX18"/>
  <sheetViews>
    <sheetView workbookViewId="0">
      <selection activeCell="B4" sqref="B4:K18"/>
    </sheetView>
  </sheetViews>
  <sheetFormatPr defaultRowHeight="14.6"/>
  <cols>
    <col min="2" max="2" width="11.69140625" customWidth="1"/>
  </cols>
  <sheetData>
    <row r="3" spans="2:102" ht="15" thickBot="1"/>
    <row r="4" spans="2:102">
      <c r="B4" s="7">
        <v>1</v>
      </c>
      <c r="C4" s="7">
        <v>2</v>
      </c>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7"/>
      <c r="AV4" s="7"/>
      <c r="AW4" s="7"/>
      <c r="AX4" s="7"/>
      <c r="AY4" s="7"/>
      <c r="AZ4" s="7"/>
      <c r="BA4" s="7"/>
      <c r="BB4" s="7"/>
      <c r="BC4" s="7"/>
      <c r="BD4" s="7"/>
      <c r="BE4" s="7"/>
      <c r="BF4" s="7"/>
      <c r="BG4" s="7"/>
      <c r="BH4" s="7"/>
      <c r="BI4" s="7"/>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row>
    <row r="5" spans="2:102">
      <c r="B5" s="8">
        <v>30</v>
      </c>
      <c r="C5" s="8">
        <v>11</v>
      </c>
      <c r="D5" s="8"/>
      <c r="E5" s="8"/>
      <c r="F5" s="8"/>
      <c r="G5" s="8"/>
      <c r="H5" s="8"/>
      <c r="I5" s="8"/>
      <c r="J5" s="8"/>
      <c r="K5" s="8"/>
      <c r="L5" s="8"/>
      <c r="M5" s="8"/>
      <c r="N5" s="8"/>
      <c r="O5" s="8"/>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c r="CK5" s="8"/>
      <c r="CL5" s="8"/>
      <c r="CM5" s="8"/>
      <c r="CN5" s="8"/>
      <c r="CO5" s="8"/>
      <c r="CP5" s="8"/>
      <c r="CQ5" s="8"/>
      <c r="CR5" s="8"/>
      <c r="CS5" s="8"/>
      <c r="CT5" s="8"/>
      <c r="CU5" s="8"/>
      <c r="CV5" s="8"/>
      <c r="CW5" s="8"/>
      <c r="CX5" s="8"/>
    </row>
    <row r="6" spans="2:102">
      <c r="B6" s="5"/>
      <c r="C6" s="5"/>
      <c r="D6" s="5"/>
      <c r="E6" s="5"/>
      <c r="F6" s="5"/>
      <c r="G6" s="5"/>
      <c r="H6" s="5"/>
      <c r="I6" s="5"/>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2:102" ht="15" thickBot="1"/>
    <row r="8" spans="2:102">
      <c r="B8" s="10"/>
      <c r="C8" s="10"/>
      <c r="D8" s="10"/>
      <c r="E8" s="10"/>
      <c r="F8" s="10"/>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row>
    <row r="9" spans="2:102">
      <c r="B9" s="6">
        <v>0</v>
      </c>
      <c r="C9">
        <v>0</v>
      </c>
      <c r="D9">
        <v>0</v>
      </c>
      <c r="E9">
        <v>0</v>
      </c>
      <c r="F9">
        <v>1</v>
      </c>
      <c r="G9">
        <v>2</v>
      </c>
      <c r="H9">
        <v>3</v>
      </c>
      <c r="I9">
        <v>4</v>
      </c>
      <c r="J9">
        <v>5</v>
      </c>
    </row>
    <row r="10" spans="2:102">
      <c r="B10" s="6">
        <v>2</v>
      </c>
      <c r="C10">
        <v>2</v>
      </c>
      <c r="D10">
        <v>2</v>
      </c>
      <c r="E10" s="9">
        <v>3</v>
      </c>
      <c r="F10" s="9">
        <v>1</v>
      </c>
      <c r="G10">
        <v>2</v>
      </c>
      <c r="H10">
        <v>3</v>
      </c>
      <c r="I10">
        <v>4</v>
      </c>
      <c r="J10">
        <v>5</v>
      </c>
    </row>
    <row r="11" spans="2:102">
      <c r="B11" s="6"/>
      <c r="E11" s="9"/>
      <c r="F11" s="9"/>
    </row>
    <row r="12" spans="2:102">
      <c r="B12" s="6"/>
      <c r="E12" s="9"/>
      <c r="F12" s="9"/>
    </row>
    <row r="13" spans="2:102">
      <c r="B13" s="6"/>
      <c r="F13" s="3"/>
    </row>
    <row r="14" spans="2:102">
      <c r="B14" s="6"/>
      <c r="F14" s="3"/>
    </row>
    <row r="15" spans="2:102">
      <c r="B15" s="6"/>
      <c r="F15" s="3"/>
    </row>
    <row r="16" spans="2:102">
      <c r="B16" s="6"/>
      <c r="F16" s="3"/>
    </row>
    <row r="17" spans="2:2">
      <c r="B17" s="6"/>
    </row>
    <row r="18" spans="2:2">
      <c r="B18" s="6"/>
    </row>
  </sheetData>
  <phoneticPr fontId="4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151"/>
  <sheetViews>
    <sheetView topLeftCell="A12" workbookViewId="0">
      <selection activeCell="J26" sqref="J26"/>
    </sheetView>
  </sheetViews>
  <sheetFormatPr defaultRowHeight="14.6"/>
  <cols>
    <col min="7" max="7" width="15.69140625" style="3" customWidth="1"/>
  </cols>
  <sheetData>
    <row r="1" spans="1:7">
      <c r="A1" s="3" t="s">
        <v>4</v>
      </c>
      <c r="C1" t="s">
        <v>12</v>
      </c>
      <c r="G1" s="3" t="s">
        <v>13</v>
      </c>
    </row>
    <row r="2" spans="1:7">
      <c r="A2">
        <v>3</v>
      </c>
      <c r="C2">
        <v>5.0999999999999996</v>
      </c>
      <c r="D2">
        <v>3.5</v>
      </c>
      <c r="E2">
        <v>1.4</v>
      </c>
      <c r="F2">
        <v>0.2</v>
      </c>
      <c r="G2" s="3" t="s">
        <v>6</v>
      </c>
    </row>
    <row r="3" spans="1:7">
      <c r="A3">
        <v>2</v>
      </c>
      <c r="C3">
        <v>4.9000000000000004</v>
      </c>
      <c r="D3">
        <v>3</v>
      </c>
      <c r="E3">
        <v>1.4</v>
      </c>
      <c r="F3">
        <v>0.2</v>
      </c>
      <c r="G3" s="3" t="s">
        <v>6</v>
      </c>
    </row>
    <row r="4" spans="1:7">
      <c r="A4">
        <v>2</v>
      </c>
      <c r="C4">
        <v>4.7</v>
      </c>
      <c r="D4">
        <v>3.2</v>
      </c>
      <c r="E4">
        <v>1.3</v>
      </c>
      <c r="F4">
        <v>0.2</v>
      </c>
      <c r="G4" s="3" t="s">
        <v>6</v>
      </c>
    </row>
    <row r="5" spans="1:7">
      <c r="A5">
        <v>2</v>
      </c>
      <c r="C5">
        <v>4.5999999999999996</v>
      </c>
      <c r="D5">
        <v>3.1</v>
      </c>
      <c r="E5">
        <v>1.5</v>
      </c>
      <c r="F5">
        <v>0.2</v>
      </c>
      <c r="G5" s="3" t="s">
        <v>6</v>
      </c>
    </row>
    <row r="6" spans="1:7">
      <c r="A6">
        <v>3</v>
      </c>
      <c r="C6">
        <v>5</v>
      </c>
      <c r="D6">
        <v>3.6</v>
      </c>
      <c r="E6">
        <v>1.4</v>
      </c>
      <c r="F6">
        <v>0.2</v>
      </c>
      <c r="G6" s="3" t="s">
        <v>6</v>
      </c>
    </row>
    <row r="7" spans="1:7">
      <c r="A7">
        <v>3</v>
      </c>
      <c r="C7">
        <v>5.4</v>
      </c>
      <c r="D7">
        <v>3.9</v>
      </c>
      <c r="E7">
        <v>1.7</v>
      </c>
      <c r="F7">
        <v>0.4</v>
      </c>
      <c r="G7" s="3" t="s">
        <v>6</v>
      </c>
    </row>
    <row r="8" spans="1:7">
      <c r="A8">
        <v>2</v>
      </c>
      <c r="C8">
        <v>4.5999999999999996</v>
      </c>
      <c r="D8">
        <v>3.4</v>
      </c>
      <c r="E8">
        <v>1.4</v>
      </c>
      <c r="F8">
        <v>0.3</v>
      </c>
      <c r="G8" s="3" t="s">
        <v>6</v>
      </c>
    </row>
    <row r="9" spans="1:7">
      <c r="A9">
        <v>2</v>
      </c>
      <c r="C9">
        <v>5</v>
      </c>
      <c r="D9">
        <v>3.4</v>
      </c>
      <c r="E9">
        <v>1.5</v>
      </c>
      <c r="F9">
        <v>0.2</v>
      </c>
      <c r="G9" s="3" t="s">
        <v>6</v>
      </c>
    </row>
    <row r="10" spans="1:7">
      <c r="A10">
        <v>2</v>
      </c>
      <c r="C10">
        <v>4.4000000000000004</v>
      </c>
      <c r="D10">
        <v>2.9</v>
      </c>
      <c r="E10">
        <v>1.4</v>
      </c>
      <c r="F10">
        <v>0.2</v>
      </c>
      <c r="G10" s="3" t="s">
        <v>6</v>
      </c>
    </row>
    <row r="11" spans="1:7">
      <c r="A11">
        <v>2</v>
      </c>
      <c r="C11">
        <v>4.9000000000000004</v>
      </c>
      <c r="D11">
        <v>3.1</v>
      </c>
      <c r="E11">
        <v>1.5</v>
      </c>
      <c r="F11">
        <v>0.1</v>
      </c>
      <c r="G11" s="3" t="s">
        <v>6</v>
      </c>
    </row>
    <row r="12" spans="1:7">
      <c r="A12">
        <v>3</v>
      </c>
      <c r="C12">
        <v>5.4</v>
      </c>
      <c r="D12">
        <v>3.7</v>
      </c>
      <c r="E12">
        <v>1.5</v>
      </c>
      <c r="F12">
        <v>0.2</v>
      </c>
      <c r="G12" s="3" t="s">
        <v>6</v>
      </c>
    </row>
    <row r="13" spans="1:7">
      <c r="A13">
        <v>2</v>
      </c>
      <c r="C13">
        <v>4.8</v>
      </c>
      <c r="D13">
        <v>3.4</v>
      </c>
      <c r="E13">
        <v>1.6</v>
      </c>
      <c r="F13">
        <v>0.2</v>
      </c>
      <c r="G13" s="3" t="s">
        <v>6</v>
      </c>
    </row>
    <row r="14" spans="1:7">
      <c r="A14">
        <v>2</v>
      </c>
      <c r="C14">
        <v>4.8</v>
      </c>
      <c r="D14">
        <v>3</v>
      </c>
      <c r="E14">
        <v>1.4</v>
      </c>
      <c r="F14">
        <v>0.1</v>
      </c>
      <c r="G14" s="3" t="s">
        <v>6</v>
      </c>
    </row>
    <row r="15" spans="1:7">
      <c r="A15">
        <v>2</v>
      </c>
      <c r="C15">
        <v>4.3</v>
      </c>
      <c r="D15">
        <v>3</v>
      </c>
      <c r="E15">
        <v>1.1000000000000001</v>
      </c>
      <c r="F15">
        <v>0.1</v>
      </c>
      <c r="G15" s="3" t="s">
        <v>6</v>
      </c>
    </row>
    <row r="16" spans="1:7">
      <c r="A16">
        <v>3</v>
      </c>
      <c r="C16">
        <v>5.8</v>
      </c>
      <c r="D16">
        <v>4</v>
      </c>
      <c r="E16">
        <v>1.2</v>
      </c>
      <c r="F16">
        <v>0.2</v>
      </c>
      <c r="G16" s="3" t="s">
        <v>6</v>
      </c>
    </row>
    <row r="17" spans="1:7">
      <c r="A17">
        <v>3</v>
      </c>
      <c r="C17">
        <v>5.7</v>
      </c>
      <c r="D17">
        <v>4.4000000000000004</v>
      </c>
      <c r="E17">
        <v>1.5</v>
      </c>
      <c r="F17">
        <v>0.4</v>
      </c>
      <c r="G17" s="3" t="s">
        <v>6</v>
      </c>
    </row>
    <row r="18" spans="1:7">
      <c r="A18">
        <v>3</v>
      </c>
      <c r="C18">
        <v>5.4</v>
      </c>
      <c r="D18">
        <v>3.9</v>
      </c>
      <c r="E18">
        <v>1.3</v>
      </c>
      <c r="F18">
        <v>0.4</v>
      </c>
      <c r="G18" s="3" t="s">
        <v>6</v>
      </c>
    </row>
    <row r="19" spans="1:7">
      <c r="A19">
        <v>3</v>
      </c>
      <c r="C19">
        <v>5.0999999999999996</v>
      </c>
      <c r="D19">
        <v>3.5</v>
      </c>
      <c r="E19">
        <v>1.4</v>
      </c>
      <c r="F19">
        <v>0.3</v>
      </c>
      <c r="G19" s="3" t="s">
        <v>6</v>
      </c>
    </row>
    <row r="20" spans="1:7">
      <c r="A20">
        <v>3</v>
      </c>
      <c r="C20">
        <v>5.7</v>
      </c>
      <c r="D20">
        <v>3.8</v>
      </c>
      <c r="E20">
        <v>1.7</v>
      </c>
      <c r="F20">
        <v>0.3</v>
      </c>
      <c r="G20" s="3" t="s">
        <v>6</v>
      </c>
    </row>
    <row r="21" spans="1:7">
      <c r="A21">
        <v>3</v>
      </c>
      <c r="C21">
        <v>5.0999999999999996</v>
      </c>
      <c r="D21">
        <v>3.8</v>
      </c>
      <c r="E21">
        <v>1.5</v>
      </c>
      <c r="F21">
        <v>0.3</v>
      </c>
      <c r="G21" s="3" t="s">
        <v>6</v>
      </c>
    </row>
    <row r="22" spans="1:7">
      <c r="A22">
        <v>3</v>
      </c>
      <c r="C22">
        <v>5.4</v>
      </c>
      <c r="D22">
        <v>3.4</v>
      </c>
      <c r="E22">
        <v>1.7</v>
      </c>
      <c r="F22">
        <v>0.2</v>
      </c>
      <c r="G22" s="3" t="s">
        <v>6</v>
      </c>
    </row>
    <row r="23" spans="1:7">
      <c r="A23">
        <v>3</v>
      </c>
      <c r="C23">
        <v>5.0999999999999996</v>
      </c>
      <c r="D23">
        <v>3.7</v>
      </c>
      <c r="E23">
        <v>1.5</v>
      </c>
      <c r="F23">
        <v>0.4</v>
      </c>
      <c r="G23" s="3" t="s">
        <v>6</v>
      </c>
    </row>
    <row r="24" spans="1:7">
      <c r="A24">
        <v>2</v>
      </c>
      <c r="C24">
        <v>4.5999999999999996</v>
      </c>
      <c r="D24">
        <v>3.6</v>
      </c>
      <c r="E24">
        <v>1</v>
      </c>
      <c r="F24">
        <v>0.2</v>
      </c>
      <c r="G24" s="3" t="s">
        <v>6</v>
      </c>
    </row>
    <row r="25" spans="1:7">
      <c r="A25">
        <v>3</v>
      </c>
      <c r="C25">
        <v>5.0999999999999996</v>
      </c>
      <c r="D25">
        <v>3.3</v>
      </c>
      <c r="E25">
        <v>1.7</v>
      </c>
      <c r="F25">
        <v>0.5</v>
      </c>
      <c r="G25" s="3" t="s">
        <v>6</v>
      </c>
    </row>
    <row r="26" spans="1:7">
      <c r="A26">
        <v>2</v>
      </c>
      <c r="C26">
        <v>4.8</v>
      </c>
      <c r="D26">
        <v>3.4</v>
      </c>
      <c r="E26">
        <v>1.9</v>
      </c>
      <c r="F26">
        <v>0.2</v>
      </c>
      <c r="G26" s="3" t="s">
        <v>6</v>
      </c>
    </row>
    <row r="27" spans="1:7">
      <c r="A27">
        <v>2</v>
      </c>
      <c r="C27">
        <v>5</v>
      </c>
      <c r="D27">
        <v>3</v>
      </c>
      <c r="E27">
        <v>1.6</v>
      </c>
      <c r="F27">
        <v>0.2</v>
      </c>
      <c r="G27" s="3" t="s">
        <v>6</v>
      </c>
    </row>
    <row r="28" spans="1:7">
      <c r="A28">
        <v>3</v>
      </c>
      <c r="C28">
        <v>5</v>
      </c>
      <c r="D28">
        <v>3.4</v>
      </c>
      <c r="E28">
        <v>1.6</v>
      </c>
      <c r="F28">
        <v>0.4</v>
      </c>
      <c r="G28" s="3" t="s">
        <v>6</v>
      </c>
    </row>
    <row r="29" spans="1:7">
      <c r="A29">
        <v>3</v>
      </c>
      <c r="C29">
        <v>5.2</v>
      </c>
      <c r="D29">
        <v>3.5</v>
      </c>
      <c r="E29">
        <v>1.5</v>
      </c>
      <c r="F29">
        <v>0.2</v>
      </c>
      <c r="G29" s="3" t="s">
        <v>6</v>
      </c>
    </row>
    <row r="30" spans="1:7">
      <c r="A30">
        <v>3</v>
      </c>
      <c r="C30">
        <v>5.2</v>
      </c>
      <c r="D30">
        <v>3.4</v>
      </c>
      <c r="E30">
        <v>1.4</v>
      </c>
      <c r="F30">
        <v>0.2</v>
      </c>
      <c r="G30" s="3" t="s">
        <v>6</v>
      </c>
    </row>
    <row r="31" spans="1:7">
      <c r="A31">
        <v>2</v>
      </c>
      <c r="C31">
        <v>4.7</v>
      </c>
      <c r="D31">
        <v>3.2</v>
      </c>
      <c r="E31">
        <v>1.6</v>
      </c>
      <c r="F31">
        <v>0.2</v>
      </c>
      <c r="G31" s="3" t="s">
        <v>6</v>
      </c>
    </row>
    <row r="32" spans="1:7">
      <c r="A32">
        <v>2</v>
      </c>
      <c r="C32">
        <v>4.8</v>
      </c>
      <c r="D32">
        <v>3.1</v>
      </c>
      <c r="E32">
        <v>1.6</v>
      </c>
      <c r="F32">
        <v>0.2</v>
      </c>
      <c r="G32" s="3" t="s">
        <v>6</v>
      </c>
    </row>
    <row r="33" spans="1:7">
      <c r="A33">
        <v>3</v>
      </c>
      <c r="C33">
        <v>5.4</v>
      </c>
      <c r="D33">
        <v>3.4</v>
      </c>
      <c r="E33">
        <v>1.5</v>
      </c>
      <c r="F33">
        <v>0.4</v>
      </c>
      <c r="G33" s="3" t="s">
        <v>6</v>
      </c>
    </row>
    <row r="34" spans="1:7">
      <c r="A34">
        <v>3</v>
      </c>
      <c r="C34">
        <v>5.2</v>
      </c>
      <c r="D34">
        <v>4.0999999999999996</v>
      </c>
      <c r="E34">
        <v>1.5</v>
      </c>
      <c r="F34">
        <v>0.1</v>
      </c>
      <c r="G34" s="3" t="s">
        <v>6</v>
      </c>
    </row>
    <row r="35" spans="1:7">
      <c r="A35">
        <v>3</v>
      </c>
      <c r="C35">
        <v>5.5</v>
      </c>
      <c r="D35">
        <v>4.2</v>
      </c>
      <c r="E35">
        <v>1.4</v>
      </c>
      <c r="F35">
        <v>0.2</v>
      </c>
      <c r="G35" s="3" t="s">
        <v>6</v>
      </c>
    </row>
    <row r="36" spans="1:7">
      <c r="A36">
        <v>2</v>
      </c>
      <c r="C36">
        <v>4.9000000000000004</v>
      </c>
      <c r="D36">
        <v>3.1</v>
      </c>
      <c r="E36">
        <v>1.5</v>
      </c>
      <c r="F36">
        <v>0.1</v>
      </c>
      <c r="G36" s="3" t="s">
        <v>6</v>
      </c>
    </row>
    <row r="37" spans="1:7">
      <c r="A37">
        <v>2</v>
      </c>
      <c r="C37">
        <v>5</v>
      </c>
      <c r="D37">
        <v>3.2</v>
      </c>
      <c r="E37">
        <v>1.2</v>
      </c>
      <c r="F37">
        <v>0.2</v>
      </c>
      <c r="G37" s="3" t="s">
        <v>6</v>
      </c>
    </row>
    <row r="38" spans="1:7">
      <c r="A38">
        <v>3</v>
      </c>
      <c r="C38">
        <v>5.5</v>
      </c>
      <c r="D38">
        <v>3.5</v>
      </c>
      <c r="E38">
        <v>1.3</v>
      </c>
      <c r="F38">
        <v>0.2</v>
      </c>
      <c r="G38" s="3" t="s">
        <v>6</v>
      </c>
    </row>
    <row r="39" spans="1:7">
      <c r="A39">
        <v>2</v>
      </c>
      <c r="C39">
        <v>4.9000000000000004</v>
      </c>
      <c r="D39">
        <v>3.1</v>
      </c>
      <c r="E39">
        <v>1.5</v>
      </c>
      <c r="F39">
        <v>0.1</v>
      </c>
      <c r="G39" s="3" t="s">
        <v>6</v>
      </c>
    </row>
    <row r="40" spans="1:7">
      <c r="A40">
        <v>2</v>
      </c>
      <c r="C40">
        <v>4.4000000000000004</v>
      </c>
      <c r="D40">
        <v>3</v>
      </c>
      <c r="E40">
        <v>1.3</v>
      </c>
      <c r="F40">
        <v>0.2</v>
      </c>
      <c r="G40" s="3" t="s">
        <v>6</v>
      </c>
    </row>
    <row r="41" spans="1:7">
      <c r="A41">
        <v>3</v>
      </c>
      <c r="C41">
        <v>5.0999999999999996</v>
      </c>
      <c r="D41">
        <v>3.4</v>
      </c>
      <c r="E41">
        <v>1.5</v>
      </c>
      <c r="F41">
        <v>0.2</v>
      </c>
      <c r="G41" s="3" t="s">
        <v>6</v>
      </c>
    </row>
    <row r="42" spans="1:7">
      <c r="A42">
        <v>3</v>
      </c>
      <c r="C42">
        <v>5</v>
      </c>
      <c r="D42">
        <v>3.5</v>
      </c>
      <c r="E42">
        <v>1.3</v>
      </c>
      <c r="F42">
        <v>0.3</v>
      </c>
      <c r="G42" s="3" t="s">
        <v>6</v>
      </c>
    </row>
    <row r="43" spans="1:7">
      <c r="A43">
        <v>2</v>
      </c>
      <c r="C43">
        <v>4.5</v>
      </c>
      <c r="D43">
        <v>2.2999999999999998</v>
      </c>
      <c r="E43">
        <v>1.3</v>
      </c>
      <c r="F43">
        <v>0.3</v>
      </c>
      <c r="G43" s="3" t="s">
        <v>6</v>
      </c>
    </row>
    <row r="44" spans="1:7">
      <c r="A44">
        <v>2</v>
      </c>
      <c r="C44">
        <v>4.4000000000000004</v>
      </c>
      <c r="D44">
        <v>3.2</v>
      </c>
      <c r="E44">
        <v>1.3</v>
      </c>
      <c r="F44">
        <v>0.2</v>
      </c>
      <c r="G44" s="3" t="s">
        <v>6</v>
      </c>
    </row>
    <row r="45" spans="1:7">
      <c r="A45">
        <v>3</v>
      </c>
      <c r="C45">
        <v>5</v>
      </c>
      <c r="D45">
        <v>3.5</v>
      </c>
      <c r="E45">
        <v>1.6</v>
      </c>
      <c r="F45">
        <v>0.6</v>
      </c>
      <c r="G45" s="3" t="s">
        <v>6</v>
      </c>
    </row>
    <row r="46" spans="1:7">
      <c r="A46">
        <v>3</v>
      </c>
      <c r="C46">
        <v>5.0999999999999996</v>
      </c>
      <c r="D46">
        <v>3.8</v>
      </c>
      <c r="E46">
        <v>1.9</v>
      </c>
      <c r="F46">
        <v>0.4</v>
      </c>
      <c r="G46" s="3" t="s">
        <v>6</v>
      </c>
    </row>
    <row r="47" spans="1:7">
      <c r="A47">
        <v>2</v>
      </c>
      <c r="C47">
        <v>4.8</v>
      </c>
      <c r="D47">
        <v>3</v>
      </c>
      <c r="E47">
        <v>1.4</v>
      </c>
      <c r="F47">
        <v>0.3</v>
      </c>
      <c r="G47" s="3" t="s">
        <v>6</v>
      </c>
    </row>
    <row r="48" spans="1:7">
      <c r="A48">
        <v>3</v>
      </c>
      <c r="C48">
        <v>5.0999999999999996</v>
      </c>
      <c r="D48">
        <v>3.8</v>
      </c>
      <c r="E48">
        <v>1.6</v>
      </c>
      <c r="F48">
        <v>0.2</v>
      </c>
      <c r="G48" s="3" t="s">
        <v>6</v>
      </c>
    </row>
    <row r="49" spans="1:7">
      <c r="A49">
        <v>2</v>
      </c>
      <c r="C49">
        <v>4.5999999999999996</v>
      </c>
      <c r="D49">
        <v>3.2</v>
      </c>
      <c r="E49">
        <v>1.4</v>
      </c>
      <c r="F49">
        <v>0.2</v>
      </c>
      <c r="G49" s="3" t="s">
        <v>6</v>
      </c>
    </row>
    <row r="50" spans="1:7">
      <c r="A50">
        <v>3</v>
      </c>
      <c r="C50">
        <v>5.3</v>
      </c>
      <c r="D50">
        <v>3.7</v>
      </c>
      <c r="E50">
        <v>1.5</v>
      </c>
      <c r="F50">
        <v>0.2</v>
      </c>
      <c r="G50" s="3" t="s">
        <v>6</v>
      </c>
    </row>
    <row r="51" spans="1:7">
      <c r="A51">
        <v>2</v>
      </c>
      <c r="C51">
        <v>5</v>
      </c>
      <c r="D51">
        <v>3.3</v>
      </c>
      <c r="E51">
        <v>1.4</v>
      </c>
      <c r="F51">
        <v>0.2</v>
      </c>
      <c r="G51" s="3" t="s">
        <v>6</v>
      </c>
    </row>
    <row r="52" spans="1:7">
      <c r="A52">
        <v>1</v>
      </c>
      <c r="C52">
        <v>7</v>
      </c>
      <c r="D52">
        <v>3.2</v>
      </c>
      <c r="E52">
        <v>4.7</v>
      </c>
      <c r="F52">
        <v>1.4</v>
      </c>
      <c r="G52" s="3" t="s">
        <v>7</v>
      </c>
    </row>
    <row r="53" spans="1:7">
      <c r="A53">
        <v>4</v>
      </c>
      <c r="C53">
        <v>6.4</v>
      </c>
      <c r="D53">
        <v>3.2</v>
      </c>
      <c r="E53">
        <v>4.5</v>
      </c>
      <c r="F53">
        <v>1.5</v>
      </c>
      <c r="G53" s="3" t="s">
        <v>7</v>
      </c>
    </row>
    <row r="54" spans="1:7">
      <c r="A54">
        <v>1</v>
      </c>
      <c r="C54">
        <v>6.9</v>
      </c>
      <c r="D54">
        <v>3.1</v>
      </c>
      <c r="E54">
        <v>4.9000000000000004</v>
      </c>
      <c r="F54">
        <v>1.5</v>
      </c>
      <c r="G54" s="3" t="s">
        <v>7</v>
      </c>
    </row>
    <row r="55" spans="1:7">
      <c r="A55">
        <v>4</v>
      </c>
      <c r="C55">
        <v>5.5</v>
      </c>
      <c r="D55">
        <v>2.2999999999999998</v>
      </c>
      <c r="E55">
        <v>4</v>
      </c>
      <c r="F55">
        <v>1.3</v>
      </c>
      <c r="G55" s="3" t="s">
        <v>7</v>
      </c>
    </row>
    <row r="56" spans="1:7">
      <c r="A56">
        <v>4</v>
      </c>
      <c r="C56">
        <v>6.5</v>
      </c>
      <c r="D56">
        <v>2.8</v>
      </c>
      <c r="E56">
        <v>4.5999999999999996</v>
      </c>
      <c r="F56">
        <v>1.5</v>
      </c>
      <c r="G56" s="3" t="s">
        <v>7</v>
      </c>
    </row>
    <row r="57" spans="1:7">
      <c r="A57">
        <v>4</v>
      </c>
      <c r="C57">
        <v>5.7</v>
      </c>
      <c r="D57">
        <v>2.8</v>
      </c>
      <c r="E57">
        <v>4.5</v>
      </c>
      <c r="F57">
        <v>1.3</v>
      </c>
      <c r="G57" s="3" t="s">
        <v>7</v>
      </c>
    </row>
    <row r="58" spans="1:7">
      <c r="A58">
        <v>4</v>
      </c>
      <c r="C58">
        <v>6.3</v>
      </c>
      <c r="D58">
        <v>3.3</v>
      </c>
      <c r="E58">
        <v>4.7</v>
      </c>
      <c r="F58">
        <v>1.6</v>
      </c>
      <c r="G58" s="3" t="s">
        <v>7</v>
      </c>
    </row>
    <row r="59" spans="1:7">
      <c r="A59">
        <v>4</v>
      </c>
      <c r="C59">
        <v>4.9000000000000004</v>
      </c>
      <c r="D59">
        <v>2.4</v>
      </c>
      <c r="E59">
        <v>3.3</v>
      </c>
      <c r="F59">
        <v>1</v>
      </c>
      <c r="G59" s="3" t="s">
        <v>7</v>
      </c>
    </row>
    <row r="60" spans="1:7">
      <c r="A60">
        <v>4</v>
      </c>
      <c r="C60">
        <v>6.6</v>
      </c>
      <c r="D60">
        <v>2.9</v>
      </c>
      <c r="E60">
        <v>4.5999999999999996</v>
      </c>
      <c r="F60">
        <v>1.3</v>
      </c>
      <c r="G60" s="3" t="s">
        <v>7</v>
      </c>
    </row>
    <row r="61" spans="1:7">
      <c r="A61">
        <v>4</v>
      </c>
      <c r="C61">
        <v>5.2</v>
      </c>
      <c r="D61">
        <v>2.7</v>
      </c>
      <c r="E61">
        <v>3.9</v>
      </c>
      <c r="F61">
        <v>1.4</v>
      </c>
      <c r="G61" s="3" t="s">
        <v>7</v>
      </c>
    </row>
    <row r="62" spans="1:7">
      <c r="A62">
        <v>4</v>
      </c>
      <c r="C62">
        <v>5</v>
      </c>
      <c r="D62">
        <v>2</v>
      </c>
      <c r="E62">
        <v>3.5</v>
      </c>
      <c r="F62">
        <v>1</v>
      </c>
      <c r="G62" s="3" t="s">
        <v>7</v>
      </c>
    </row>
    <row r="63" spans="1:7">
      <c r="A63">
        <v>4</v>
      </c>
      <c r="C63">
        <v>5.9</v>
      </c>
      <c r="D63">
        <v>3</v>
      </c>
      <c r="E63">
        <v>4.2</v>
      </c>
      <c r="F63">
        <v>1.5</v>
      </c>
      <c r="G63" s="3" t="s">
        <v>7</v>
      </c>
    </row>
    <row r="64" spans="1:7">
      <c r="A64">
        <v>4</v>
      </c>
      <c r="C64">
        <v>6</v>
      </c>
      <c r="D64">
        <v>2.2000000000000002</v>
      </c>
      <c r="E64">
        <v>4</v>
      </c>
      <c r="F64">
        <v>1</v>
      </c>
      <c r="G64" s="3" t="s">
        <v>7</v>
      </c>
    </row>
    <row r="65" spans="1:7">
      <c r="A65">
        <v>4</v>
      </c>
      <c r="C65">
        <v>6.1</v>
      </c>
      <c r="D65">
        <v>2.9</v>
      </c>
      <c r="E65">
        <v>4.7</v>
      </c>
      <c r="F65">
        <v>1.4</v>
      </c>
      <c r="G65" s="3" t="s">
        <v>7</v>
      </c>
    </row>
    <row r="66" spans="1:7">
      <c r="A66">
        <v>4</v>
      </c>
      <c r="C66">
        <v>5.6</v>
      </c>
      <c r="D66">
        <v>2.9</v>
      </c>
      <c r="E66">
        <v>3.6</v>
      </c>
      <c r="F66">
        <v>1.3</v>
      </c>
      <c r="G66" s="3" t="s">
        <v>7</v>
      </c>
    </row>
    <row r="67" spans="1:7">
      <c r="A67">
        <v>4</v>
      </c>
      <c r="C67">
        <v>6.7</v>
      </c>
      <c r="D67">
        <v>3.1</v>
      </c>
      <c r="E67">
        <v>4.4000000000000004</v>
      </c>
      <c r="F67">
        <v>1.4</v>
      </c>
      <c r="G67" s="3" t="s">
        <v>7</v>
      </c>
    </row>
    <row r="68" spans="1:7">
      <c r="A68">
        <v>4</v>
      </c>
      <c r="C68">
        <v>5.6</v>
      </c>
      <c r="D68">
        <v>3</v>
      </c>
      <c r="E68">
        <v>4.5</v>
      </c>
      <c r="F68">
        <v>1.5</v>
      </c>
      <c r="G68" s="3" t="s">
        <v>7</v>
      </c>
    </row>
    <row r="69" spans="1:7">
      <c r="A69">
        <v>4</v>
      </c>
      <c r="C69">
        <v>5.8</v>
      </c>
      <c r="D69">
        <v>2.7</v>
      </c>
      <c r="E69">
        <v>4.0999999999999996</v>
      </c>
      <c r="F69">
        <v>1</v>
      </c>
      <c r="G69" s="3" t="s">
        <v>7</v>
      </c>
    </row>
    <row r="70" spans="1:7">
      <c r="A70">
        <v>4</v>
      </c>
      <c r="C70">
        <v>6.2</v>
      </c>
      <c r="D70">
        <v>2.2000000000000002</v>
      </c>
      <c r="E70">
        <v>4.5</v>
      </c>
      <c r="F70">
        <v>1.5</v>
      </c>
      <c r="G70" s="3" t="s">
        <v>7</v>
      </c>
    </row>
    <row r="71" spans="1:7">
      <c r="A71">
        <v>4</v>
      </c>
      <c r="C71">
        <v>5.6</v>
      </c>
      <c r="D71">
        <v>2.5</v>
      </c>
      <c r="E71">
        <v>3.9</v>
      </c>
      <c r="F71">
        <v>1.1000000000000001</v>
      </c>
      <c r="G71" s="3" t="s">
        <v>7</v>
      </c>
    </row>
    <row r="72" spans="1:7">
      <c r="A72">
        <v>4</v>
      </c>
      <c r="C72">
        <v>5.9</v>
      </c>
      <c r="D72">
        <v>3.2</v>
      </c>
      <c r="E72">
        <v>4.8</v>
      </c>
      <c r="F72">
        <v>1.8</v>
      </c>
      <c r="G72" s="3" t="s">
        <v>7</v>
      </c>
    </row>
    <row r="73" spans="1:7">
      <c r="A73">
        <v>4</v>
      </c>
      <c r="C73">
        <v>6.1</v>
      </c>
      <c r="D73">
        <v>2.8</v>
      </c>
      <c r="E73">
        <v>4</v>
      </c>
      <c r="F73">
        <v>1.3</v>
      </c>
      <c r="G73" s="3" t="s">
        <v>7</v>
      </c>
    </row>
    <row r="74" spans="1:7">
      <c r="A74">
        <v>4</v>
      </c>
      <c r="C74">
        <v>6.3</v>
      </c>
      <c r="D74">
        <v>2.5</v>
      </c>
      <c r="E74">
        <v>4.9000000000000004</v>
      </c>
      <c r="F74">
        <v>1.5</v>
      </c>
      <c r="G74" s="3" t="s">
        <v>7</v>
      </c>
    </row>
    <row r="75" spans="1:7">
      <c r="A75">
        <v>4</v>
      </c>
      <c r="C75">
        <v>6.1</v>
      </c>
      <c r="D75">
        <v>2.8</v>
      </c>
      <c r="E75">
        <v>4.7</v>
      </c>
      <c r="F75">
        <v>1.2</v>
      </c>
      <c r="G75" s="3" t="s">
        <v>7</v>
      </c>
    </row>
    <row r="76" spans="1:7">
      <c r="A76">
        <v>4</v>
      </c>
      <c r="C76">
        <v>6.4</v>
      </c>
      <c r="D76">
        <v>2.9</v>
      </c>
      <c r="E76">
        <v>4.3</v>
      </c>
      <c r="F76">
        <v>1.3</v>
      </c>
      <c r="G76" s="3" t="s">
        <v>7</v>
      </c>
    </row>
    <row r="77" spans="1:7">
      <c r="A77">
        <v>4</v>
      </c>
      <c r="C77">
        <v>6.6</v>
      </c>
      <c r="D77">
        <v>3</v>
      </c>
      <c r="E77">
        <v>4.4000000000000004</v>
      </c>
      <c r="F77">
        <v>1.4</v>
      </c>
      <c r="G77" s="3" t="s">
        <v>7</v>
      </c>
    </row>
    <row r="78" spans="1:7">
      <c r="A78">
        <v>4</v>
      </c>
      <c r="C78">
        <v>6.8</v>
      </c>
      <c r="D78">
        <v>2.8</v>
      </c>
      <c r="E78">
        <v>4.8</v>
      </c>
      <c r="F78">
        <v>1.4</v>
      </c>
      <c r="G78" s="3" t="s">
        <v>7</v>
      </c>
    </row>
    <row r="79" spans="1:7">
      <c r="A79">
        <v>1</v>
      </c>
      <c r="C79">
        <v>6.7</v>
      </c>
      <c r="D79">
        <v>3</v>
      </c>
      <c r="E79">
        <v>5</v>
      </c>
      <c r="F79">
        <v>1.7</v>
      </c>
      <c r="G79" s="3" t="s">
        <v>7</v>
      </c>
    </row>
    <row r="80" spans="1:7">
      <c r="A80">
        <v>4</v>
      </c>
      <c r="C80">
        <v>6</v>
      </c>
      <c r="D80">
        <v>2.9</v>
      </c>
      <c r="E80">
        <v>4.5</v>
      </c>
      <c r="F80">
        <v>1.5</v>
      </c>
      <c r="G80" s="3" t="s">
        <v>7</v>
      </c>
    </row>
    <row r="81" spans="1:7">
      <c r="A81">
        <v>4</v>
      </c>
      <c r="C81">
        <v>5.7</v>
      </c>
      <c r="D81">
        <v>2.6</v>
      </c>
      <c r="E81">
        <v>3.5</v>
      </c>
      <c r="F81">
        <v>1</v>
      </c>
      <c r="G81" s="3" t="s">
        <v>7</v>
      </c>
    </row>
    <row r="82" spans="1:7">
      <c r="A82">
        <v>4</v>
      </c>
      <c r="C82">
        <v>5.5</v>
      </c>
      <c r="D82">
        <v>2.4</v>
      </c>
      <c r="E82">
        <v>3.8</v>
      </c>
      <c r="F82">
        <v>1.1000000000000001</v>
      </c>
      <c r="G82" s="3" t="s">
        <v>7</v>
      </c>
    </row>
    <row r="83" spans="1:7">
      <c r="A83">
        <v>4</v>
      </c>
      <c r="C83">
        <v>5.5</v>
      </c>
      <c r="D83">
        <v>2.4</v>
      </c>
      <c r="E83">
        <v>3.7</v>
      </c>
      <c r="F83">
        <v>1</v>
      </c>
      <c r="G83" s="3" t="s">
        <v>7</v>
      </c>
    </row>
    <row r="84" spans="1:7">
      <c r="A84">
        <v>4</v>
      </c>
      <c r="C84">
        <v>5.8</v>
      </c>
      <c r="D84">
        <v>2.7</v>
      </c>
      <c r="E84">
        <v>3.9</v>
      </c>
      <c r="F84">
        <v>1.2</v>
      </c>
      <c r="G84" s="3" t="s">
        <v>7</v>
      </c>
    </row>
    <row r="85" spans="1:7">
      <c r="A85">
        <v>4</v>
      </c>
      <c r="C85">
        <v>6</v>
      </c>
      <c r="D85">
        <v>2.7</v>
      </c>
      <c r="E85">
        <v>5.0999999999999996</v>
      </c>
      <c r="F85">
        <v>1.6</v>
      </c>
      <c r="G85" s="3" t="s">
        <v>7</v>
      </c>
    </row>
    <row r="86" spans="1:7">
      <c r="A86">
        <v>4</v>
      </c>
      <c r="C86">
        <v>5.4</v>
      </c>
      <c r="D86">
        <v>3</v>
      </c>
      <c r="E86">
        <v>4.5</v>
      </c>
      <c r="F86">
        <v>1.5</v>
      </c>
      <c r="G86" s="3" t="s">
        <v>7</v>
      </c>
    </row>
    <row r="87" spans="1:7">
      <c r="A87">
        <v>4</v>
      </c>
      <c r="C87">
        <v>6</v>
      </c>
      <c r="D87">
        <v>3.4</v>
      </c>
      <c r="E87">
        <v>4.5</v>
      </c>
      <c r="F87">
        <v>1.6</v>
      </c>
      <c r="G87" s="3" t="s">
        <v>7</v>
      </c>
    </row>
    <row r="88" spans="1:7">
      <c r="A88">
        <v>4</v>
      </c>
      <c r="C88">
        <v>6.7</v>
      </c>
      <c r="D88">
        <v>3.1</v>
      </c>
      <c r="E88">
        <v>4.7</v>
      </c>
      <c r="F88">
        <v>1.5</v>
      </c>
      <c r="G88" s="3" t="s">
        <v>7</v>
      </c>
    </row>
    <row r="89" spans="1:7">
      <c r="A89">
        <v>4</v>
      </c>
      <c r="C89">
        <v>6.3</v>
      </c>
      <c r="D89">
        <v>2.2999999999999998</v>
      </c>
      <c r="E89">
        <v>4.4000000000000004</v>
      </c>
      <c r="F89">
        <v>1.3</v>
      </c>
      <c r="G89" s="3" t="s">
        <v>7</v>
      </c>
    </row>
    <row r="90" spans="1:7">
      <c r="A90">
        <v>4</v>
      </c>
      <c r="C90">
        <v>5.6</v>
      </c>
      <c r="D90">
        <v>3</v>
      </c>
      <c r="E90">
        <v>4.0999999999999996</v>
      </c>
      <c r="F90">
        <v>1.3</v>
      </c>
      <c r="G90" s="3" t="s">
        <v>7</v>
      </c>
    </row>
    <row r="91" spans="1:7">
      <c r="A91">
        <v>4</v>
      </c>
      <c r="C91">
        <v>5.5</v>
      </c>
      <c r="D91">
        <v>2.5</v>
      </c>
      <c r="E91">
        <v>4</v>
      </c>
      <c r="F91">
        <v>1.3</v>
      </c>
      <c r="G91" s="3" t="s">
        <v>7</v>
      </c>
    </row>
    <row r="92" spans="1:7">
      <c r="A92">
        <v>4</v>
      </c>
      <c r="C92">
        <v>5.5</v>
      </c>
      <c r="D92">
        <v>2.6</v>
      </c>
      <c r="E92">
        <v>4.4000000000000004</v>
      </c>
      <c r="F92">
        <v>1.2</v>
      </c>
      <c r="G92" s="3" t="s">
        <v>7</v>
      </c>
    </row>
    <row r="93" spans="1:7">
      <c r="A93">
        <v>4</v>
      </c>
      <c r="C93">
        <v>6.1</v>
      </c>
      <c r="D93">
        <v>3</v>
      </c>
      <c r="E93">
        <v>4.5999999999999996</v>
      </c>
      <c r="F93">
        <v>1.4</v>
      </c>
      <c r="G93" s="3" t="s">
        <v>7</v>
      </c>
    </row>
    <row r="94" spans="1:7">
      <c r="A94">
        <v>4</v>
      </c>
      <c r="C94">
        <v>5.8</v>
      </c>
      <c r="D94">
        <v>2.6</v>
      </c>
      <c r="E94">
        <v>4</v>
      </c>
      <c r="F94">
        <v>1.2</v>
      </c>
      <c r="G94" s="3" t="s">
        <v>7</v>
      </c>
    </row>
    <row r="95" spans="1:7">
      <c r="A95">
        <v>4</v>
      </c>
      <c r="C95">
        <v>5</v>
      </c>
      <c r="D95">
        <v>2.2999999999999998</v>
      </c>
      <c r="E95">
        <v>3.3</v>
      </c>
      <c r="F95">
        <v>1</v>
      </c>
      <c r="G95" s="3" t="s">
        <v>7</v>
      </c>
    </row>
    <row r="96" spans="1:7">
      <c r="A96">
        <v>4</v>
      </c>
      <c r="C96">
        <v>5.6</v>
      </c>
      <c r="D96">
        <v>2.7</v>
      </c>
      <c r="E96">
        <v>4.2</v>
      </c>
      <c r="F96">
        <v>1.3</v>
      </c>
      <c r="G96" s="3" t="s">
        <v>7</v>
      </c>
    </row>
    <row r="97" spans="1:7">
      <c r="A97">
        <v>4</v>
      </c>
      <c r="C97">
        <v>5.7</v>
      </c>
      <c r="D97">
        <v>3</v>
      </c>
      <c r="E97">
        <v>4.2</v>
      </c>
      <c r="F97">
        <v>1.2</v>
      </c>
      <c r="G97" s="3" t="s">
        <v>7</v>
      </c>
    </row>
    <row r="98" spans="1:7">
      <c r="A98">
        <v>4</v>
      </c>
      <c r="C98">
        <v>5.7</v>
      </c>
      <c r="D98">
        <v>2.9</v>
      </c>
      <c r="E98">
        <v>4.2</v>
      </c>
      <c r="F98">
        <v>1.3</v>
      </c>
      <c r="G98" s="3" t="s">
        <v>7</v>
      </c>
    </row>
    <row r="99" spans="1:7">
      <c r="A99">
        <v>4</v>
      </c>
      <c r="C99">
        <v>6.2</v>
      </c>
      <c r="D99">
        <v>2.9</v>
      </c>
      <c r="E99">
        <v>4.3</v>
      </c>
      <c r="F99">
        <v>1.3</v>
      </c>
      <c r="G99" s="3" t="s">
        <v>7</v>
      </c>
    </row>
    <row r="100" spans="1:7">
      <c r="A100">
        <v>4</v>
      </c>
      <c r="C100">
        <v>5.0999999999999996</v>
      </c>
      <c r="D100">
        <v>2.5</v>
      </c>
      <c r="E100">
        <v>3</v>
      </c>
      <c r="F100">
        <v>1.1000000000000001</v>
      </c>
      <c r="G100" s="3" t="s">
        <v>7</v>
      </c>
    </row>
    <row r="101" spans="1:7">
      <c r="A101">
        <v>4</v>
      </c>
      <c r="C101">
        <v>5.7</v>
      </c>
      <c r="D101">
        <v>2.8</v>
      </c>
      <c r="E101">
        <v>4.0999999999999996</v>
      </c>
      <c r="F101">
        <v>1.3</v>
      </c>
      <c r="G101" s="3" t="s">
        <v>7</v>
      </c>
    </row>
    <row r="102" spans="1:7">
      <c r="A102">
        <v>1</v>
      </c>
      <c r="C102">
        <v>6.3</v>
      </c>
      <c r="D102">
        <v>3.3</v>
      </c>
      <c r="E102">
        <v>6</v>
      </c>
      <c r="F102">
        <v>2.5</v>
      </c>
      <c r="G102" s="3" t="s">
        <v>8</v>
      </c>
    </row>
    <row r="103" spans="1:7">
      <c r="A103">
        <v>4</v>
      </c>
      <c r="C103">
        <v>5.8</v>
      </c>
      <c r="D103">
        <v>2.7</v>
      </c>
      <c r="E103">
        <v>5.0999999999999996</v>
      </c>
      <c r="F103">
        <v>1.9</v>
      </c>
      <c r="G103" s="3" t="s">
        <v>8</v>
      </c>
    </row>
    <row r="104" spans="1:7">
      <c r="A104">
        <v>1</v>
      </c>
      <c r="C104">
        <v>7.1</v>
      </c>
      <c r="D104">
        <v>3</v>
      </c>
      <c r="E104">
        <v>5.9</v>
      </c>
      <c r="F104">
        <v>2.1</v>
      </c>
      <c r="G104" s="3" t="s">
        <v>8</v>
      </c>
    </row>
    <row r="105" spans="1:7">
      <c r="A105">
        <v>1</v>
      </c>
      <c r="C105">
        <v>6.3</v>
      </c>
      <c r="D105">
        <v>2.9</v>
      </c>
      <c r="E105">
        <v>5.6</v>
      </c>
      <c r="F105">
        <v>1.8</v>
      </c>
      <c r="G105" s="3" t="s">
        <v>8</v>
      </c>
    </row>
    <row r="106" spans="1:7">
      <c r="A106">
        <v>1</v>
      </c>
      <c r="C106">
        <v>6.5</v>
      </c>
      <c r="D106">
        <v>3</v>
      </c>
      <c r="E106">
        <v>5.8</v>
      </c>
      <c r="F106">
        <v>2.2000000000000002</v>
      </c>
      <c r="G106" s="3" t="s">
        <v>8</v>
      </c>
    </row>
    <row r="107" spans="1:7">
      <c r="A107">
        <v>1</v>
      </c>
      <c r="C107">
        <v>7.6</v>
      </c>
      <c r="D107">
        <v>3</v>
      </c>
      <c r="E107">
        <v>6.6</v>
      </c>
      <c r="F107">
        <v>2.1</v>
      </c>
      <c r="G107" s="3" t="s">
        <v>8</v>
      </c>
    </row>
    <row r="108" spans="1:7">
      <c r="A108">
        <v>4</v>
      </c>
      <c r="C108">
        <v>4.9000000000000004</v>
      </c>
      <c r="D108">
        <v>2.5</v>
      </c>
      <c r="E108">
        <v>4.5</v>
      </c>
      <c r="F108">
        <v>1.7</v>
      </c>
      <c r="G108" s="3" t="s">
        <v>8</v>
      </c>
    </row>
    <row r="109" spans="1:7">
      <c r="A109">
        <v>1</v>
      </c>
      <c r="C109">
        <v>7.3</v>
      </c>
      <c r="D109">
        <v>2.9</v>
      </c>
      <c r="E109">
        <v>6.3</v>
      </c>
      <c r="F109">
        <v>1.8</v>
      </c>
      <c r="G109" s="3" t="s">
        <v>8</v>
      </c>
    </row>
    <row r="110" spans="1:7">
      <c r="A110">
        <v>1</v>
      </c>
      <c r="C110">
        <v>6.7</v>
      </c>
      <c r="D110">
        <v>2.5</v>
      </c>
      <c r="E110">
        <v>5.8</v>
      </c>
      <c r="F110">
        <v>1.8</v>
      </c>
      <c r="G110" s="3" t="s">
        <v>8</v>
      </c>
    </row>
    <row r="111" spans="1:7">
      <c r="A111">
        <v>1</v>
      </c>
      <c r="C111">
        <v>7.2</v>
      </c>
      <c r="D111">
        <v>3.6</v>
      </c>
      <c r="E111">
        <v>6.1</v>
      </c>
      <c r="F111">
        <v>2.5</v>
      </c>
      <c r="G111" s="3" t="s">
        <v>8</v>
      </c>
    </row>
    <row r="112" spans="1:7">
      <c r="A112">
        <v>1</v>
      </c>
      <c r="C112">
        <v>6.5</v>
      </c>
      <c r="D112">
        <v>3.2</v>
      </c>
      <c r="E112">
        <v>5.0999999999999996</v>
      </c>
      <c r="F112">
        <v>2</v>
      </c>
      <c r="G112" s="3" t="s">
        <v>8</v>
      </c>
    </row>
    <row r="113" spans="1:7">
      <c r="A113">
        <v>1</v>
      </c>
      <c r="C113">
        <v>6.4</v>
      </c>
      <c r="D113">
        <v>2.7</v>
      </c>
      <c r="E113">
        <v>5.3</v>
      </c>
      <c r="F113">
        <v>1.9</v>
      </c>
      <c r="G113" s="3" t="s">
        <v>8</v>
      </c>
    </row>
    <row r="114" spans="1:7">
      <c r="A114">
        <v>1</v>
      </c>
      <c r="C114">
        <v>6.8</v>
      </c>
      <c r="D114">
        <v>3</v>
      </c>
      <c r="E114">
        <v>5.5</v>
      </c>
      <c r="F114">
        <v>2.1</v>
      </c>
      <c r="G114" s="3" t="s">
        <v>8</v>
      </c>
    </row>
    <row r="115" spans="1:7">
      <c r="A115">
        <v>4</v>
      </c>
      <c r="C115">
        <v>5.7</v>
      </c>
      <c r="D115">
        <v>2.5</v>
      </c>
      <c r="E115">
        <v>5</v>
      </c>
      <c r="F115">
        <v>2</v>
      </c>
      <c r="G115" s="3" t="s">
        <v>8</v>
      </c>
    </row>
    <row r="116" spans="1:7">
      <c r="A116">
        <v>4</v>
      </c>
      <c r="C116">
        <v>5.8</v>
      </c>
      <c r="D116">
        <v>2.8</v>
      </c>
      <c r="E116">
        <v>5.0999999999999996</v>
      </c>
      <c r="F116">
        <v>2.4</v>
      </c>
      <c r="G116" s="3" t="s">
        <v>8</v>
      </c>
    </row>
    <row r="117" spans="1:7">
      <c r="A117">
        <v>1</v>
      </c>
      <c r="C117">
        <v>6.4</v>
      </c>
      <c r="D117">
        <v>3.2</v>
      </c>
      <c r="E117">
        <v>5.3</v>
      </c>
      <c r="F117">
        <v>2.2999999999999998</v>
      </c>
      <c r="G117" s="3" t="s">
        <v>8</v>
      </c>
    </row>
    <row r="118" spans="1:7">
      <c r="A118">
        <v>1</v>
      </c>
      <c r="C118">
        <v>6.5</v>
      </c>
      <c r="D118">
        <v>3</v>
      </c>
      <c r="E118">
        <v>5.5</v>
      </c>
      <c r="F118">
        <v>1.8</v>
      </c>
      <c r="G118" s="3" t="s">
        <v>8</v>
      </c>
    </row>
    <row r="119" spans="1:7">
      <c r="A119">
        <v>1</v>
      </c>
      <c r="C119">
        <v>7.7</v>
      </c>
      <c r="D119">
        <v>3.8</v>
      </c>
      <c r="E119">
        <v>6.7</v>
      </c>
      <c r="F119">
        <v>2.2000000000000002</v>
      </c>
      <c r="G119" s="3" t="s">
        <v>8</v>
      </c>
    </row>
    <row r="120" spans="1:7">
      <c r="A120">
        <v>1</v>
      </c>
      <c r="C120">
        <v>7.7</v>
      </c>
      <c r="D120">
        <v>2.6</v>
      </c>
      <c r="E120">
        <v>6.9</v>
      </c>
      <c r="F120">
        <v>2.2999999999999998</v>
      </c>
      <c r="G120" s="3" t="s">
        <v>8</v>
      </c>
    </row>
    <row r="121" spans="1:7">
      <c r="A121">
        <v>4</v>
      </c>
      <c r="C121">
        <v>6</v>
      </c>
      <c r="D121">
        <v>2.2000000000000002</v>
      </c>
      <c r="E121">
        <v>5</v>
      </c>
      <c r="F121">
        <v>1.5</v>
      </c>
      <c r="G121" s="3" t="s">
        <v>8</v>
      </c>
    </row>
    <row r="122" spans="1:7">
      <c r="A122">
        <v>1</v>
      </c>
      <c r="C122">
        <v>6.9</v>
      </c>
      <c r="D122">
        <v>3.2</v>
      </c>
      <c r="E122">
        <v>5.7</v>
      </c>
      <c r="F122">
        <v>2.2999999999999998</v>
      </c>
      <c r="G122" s="3" t="s">
        <v>8</v>
      </c>
    </row>
    <row r="123" spans="1:7">
      <c r="A123">
        <v>4</v>
      </c>
      <c r="C123">
        <v>5.6</v>
      </c>
      <c r="D123">
        <v>2.8</v>
      </c>
      <c r="E123">
        <v>4.9000000000000004</v>
      </c>
      <c r="F123">
        <v>2</v>
      </c>
      <c r="G123" s="3" t="s">
        <v>8</v>
      </c>
    </row>
    <row r="124" spans="1:7">
      <c r="A124">
        <v>1</v>
      </c>
      <c r="C124">
        <v>7.7</v>
      </c>
      <c r="D124">
        <v>2.8</v>
      </c>
      <c r="E124">
        <v>6.7</v>
      </c>
      <c r="F124">
        <v>2</v>
      </c>
      <c r="G124" s="3" t="s">
        <v>8</v>
      </c>
    </row>
    <row r="125" spans="1:7">
      <c r="A125">
        <v>4</v>
      </c>
      <c r="C125">
        <v>6.3</v>
      </c>
      <c r="D125">
        <v>2.7</v>
      </c>
      <c r="E125">
        <v>4.9000000000000004</v>
      </c>
      <c r="F125">
        <v>1.8</v>
      </c>
      <c r="G125" s="3" t="s">
        <v>8</v>
      </c>
    </row>
    <row r="126" spans="1:7">
      <c r="A126">
        <v>1</v>
      </c>
      <c r="C126">
        <v>6.7</v>
      </c>
      <c r="D126">
        <v>3.3</v>
      </c>
      <c r="E126">
        <v>5.7</v>
      </c>
      <c r="F126">
        <v>2.1</v>
      </c>
      <c r="G126" s="3" t="s">
        <v>8</v>
      </c>
    </row>
    <row r="127" spans="1:7">
      <c r="A127">
        <v>1</v>
      </c>
      <c r="C127">
        <v>7.2</v>
      </c>
      <c r="D127">
        <v>3.2</v>
      </c>
      <c r="E127">
        <v>6</v>
      </c>
      <c r="F127">
        <v>1.8</v>
      </c>
      <c r="G127" s="3" t="s">
        <v>8</v>
      </c>
    </row>
    <row r="128" spans="1:7">
      <c r="A128">
        <v>4</v>
      </c>
      <c r="C128">
        <v>6.2</v>
      </c>
      <c r="D128">
        <v>2.8</v>
      </c>
      <c r="E128">
        <v>4.8</v>
      </c>
      <c r="F128">
        <v>1.8</v>
      </c>
      <c r="G128" s="3" t="s">
        <v>8</v>
      </c>
    </row>
    <row r="129" spans="1:7">
      <c r="A129">
        <v>4</v>
      </c>
      <c r="C129">
        <v>6.1</v>
      </c>
      <c r="D129">
        <v>3</v>
      </c>
      <c r="E129">
        <v>4.9000000000000004</v>
      </c>
      <c r="F129">
        <v>1.8</v>
      </c>
      <c r="G129" s="3" t="s">
        <v>8</v>
      </c>
    </row>
    <row r="130" spans="1:7">
      <c r="A130">
        <v>1</v>
      </c>
      <c r="C130">
        <v>6.4</v>
      </c>
      <c r="D130">
        <v>2.8</v>
      </c>
      <c r="E130">
        <v>5.6</v>
      </c>
      <c r="F130">
        <v>2.1</v>
      </c>
      <c r="G130" s="3" t="s">
        <v>8</v>
      </c>
    </row>
    <row r="131" spans="1:7">
      <c r="A131">
        <v>1</v>
      </c>
      <c r="C131">
        <v>7.2</v>
      </c>
      <c r="D131">
        <v>3</v>
      </c>
      <c r="E131">
        <v>5.8</v>
      </c>
      <c r="F131">
        <v>1.6</v>
      </c>
      <c r="G131" s="3" t="s">
        <v>8</v>
      </c>
    </row>
    <row r="132" spans="1:7">
      <c r="A132">
        <v>1</v>
      </c>
      <c r="C132">
        <v>7.4</v>
      </c>
      <c r="D132">
        <v>2.8</v>
      </c>
      <c r="E132">
        <v>6.1</v>
      </c>
      <c r="F132">
        <v>1.9</v>
      </c>
      <c r="G132" s="3" t="s">
        <v>8</v>
      </c>
    </row>
    <row r="133" spans="1:7">
      <c r="A133">
        <v>1</v>
      </c>
      <c r="C133">
        <v>7.9</v>
      </c>
      <c r="D133">
        <v>3.8</v>
      </c>
      <c r="E133">
        <v>6.4</v>
      </c>
      <c r="F133">
        <v>2</v>
      </c>
      <c r="G133" s="3" t="s">
        <v>8</v>
      </c>
    </row>
    <row r="134" spans="1:7">
      <c r="A134">
        <v>1</v>
      </c>
      <c r="C134">
        <v>6.4</v>
      </c>
      <c r="D134">
        <v>2.8</v>
      </c>
      <c r="E134">
        <v>5.6</v>
      </c>
      <c r="F134">
        <v>2.2000000000000002</v>
      </c>
      <c r="G134" s="3" t="s">
        <v>8</v>
      </c>
    </row>
    <row r="135" spans="1:7">
      <c r="A135">
        <v>4</v>
      </c>
      <c r="C135">
        <v>6.3</v>
      </c>
      <c r="D135">
        <v>2.8</v>
      </c>
      <c r="E135">
        <v>5.0999999999999996</v>
      </c>
      <c r="F135">
        <v>1.5</v>
      </c>
      <c r="G135" s="3" t="s">
        <v>8</v>
      </c>
    </row>
    <row r="136" spans="1:7">
      <c r="A136">
        <v>1</v>
      </c>
      <c r="C136">
        <v>6.1</v>
      </c>
      <c r="D136">
        <v>2.6</v>
      </c>
      <c r="E136">
        <v>5.6</v>
      </c>
      <c r="F136">
        <v>1.4</v>
      </c>
      <c r="G136" s="3" t="s">
        <v>8</v>
      </c>
    </row>
    <row r="137" spans="1:7">
      <c r="A137">
        <v>1</v>
      </c>
      <c r="C137">
        <v>7.7</v>
      </c>
      <c r="D137">
        <v>3</v>
      </c>
      <c r="E137">
        <v>6.1</v>
      </c>
      <c r="F137">
        <v>2.2999999999999998</v>
      </c>
      <c r="G137" s="3" t="s">
        <v>8</v>
      </c>
    </row>
    <row r="138" spans="1:7">
      <c r="A138">
        <v>1</v>
      </c>
      <c r="C138">
        <v>6.3</v>
      </c>
      <c r="D138">
        <v>3.4</v>
      </c>
      <c r="E138">
        <v>5.6</v>
      </c>
      <c r="F138">
        <v>2.4</v>
      </c>
      <c r="G138" s="3" t="s">
        <v>8</v>
      </c>
    </row>
    <row r="139" spans="1:7">
      <c r="A139">
        <v>1</v>
      </c>
      <c r="C139">
        <v>6.4</v>
      </c>
      <c r="D139">
        <v>3.1</v>
      </c>
      <c r="E139">
        <v>5.5</v>
      </c>
      <c r="F139">
        <v>1.8</v>
      </c>
      <c r="G139" s="3" t="s">
        <v>8</v>
      </c>
    </row>
    <row r="140" spans="1:7">
      <c r="A140">
        <v>4</v>
      </c>
      <c r="C140">
        <v>6</v>
      </c>
      <c r="D140">
        <v>3</v>
      </c>
      <c r="E140">
        <v>4.8</v>
      </c>
      <c r="F140">
        <v>1.8</v>
      </c>
      <c r="G140" s="3" t="s">
        <v>8</v>
      </c>
    </row>
    <row r="141" spans="1:7">
      <c r="A141">
        <v>1</v>
      </c>
      <c r="C141">
        <v>6.9</v>
      </c>
      <c r="D141">
        <v>3.1</v>
      </c>
      <c r="E141">
        <v>5.4</v>
      </c>
      <c r="F141">
        <v>2.1</v>
      </c>
      <c r="G141" s="3" t="s">
        <v>8</v>
      </c>
    </row>
    <row r="142" spans="1:7">
      <c r="A142">
        <v>1</v>
      </c>
      <c r="C142">
        <v>6.7</v>
      </c>
      <c r="D142">
        <v>3.1</v>
      </c>
      <c r="E142">
        <v>5.6</v>
      </c>
      <c r="F142">
        <v>2.4</v>
      </c>
      <c r="G142" s="3" t="s">
        <v>8</v>
      </c>
    </row>
    <row r="143" spans="1:7">
      <c r="A143">
        <v>1</v>
      </c>
      <c r="C143">
        <v>6.9</v>
      </c>
      <c r="D143">
        <v>3.1</v>
      </c>
      <c r="E143">
        <v>5.0999999999999996</v>
      </c>
      <c r="F143">
        <v>2.2999999999999998</v>
      </c>
      <c r="G143" s="3" t="s">
        <v>8</v>
      </c>
    </row>
    <row r="144" spans="1:7">
      <c r="A144">
        <v>4</v>
      </c>
      <c r="C144">
        <v>5.8</v>
      </c>
      <c r="D144">
        <v>2.7</v>
      </c>
      <c r="E144">
        <v>5.0999999999999996</v>
      </c>
      <c r="F144">
        <v>1.9</v>
      </c>
      <c r="G144" s="3" t="s">
        <v>8</v>
      </c>
    </row>
    <row r="145" spans="1:7">
      <c r="A145">
        <v>1</v>
      </c>
      <c r="C145">
        <v>6.8</v>
      </c>
      <c r="D145">
        <v>3.2</v>
      </c>
      <c r="E145">
        <v>5.9</v>
      </c>
      <c r="F145">
        <v>2.2999999999999998</v>
      </c>
      <c r="G145" s="3" t="s">
        <v>8</v>
      </c>
    </row>
    <row r="146" spans="1:7">
      <c r="A146">
        <v>1</v>
      </c>
      <c r="C146">
        <v>6.7</v>
      </c>
      <c r="D146">
        <v>3.3</v>
      </c>
      <c r="E146">
        <v>5.7</v>
      </c>
      <c r="F146">
        <v>2.5</v>
      </c>
      <c r="G146" s="3" t="s">
        <v>8</v>
      </c>
    </row>
    <row r="147" spans="1:7">
      <c r="A147">
        <v>1</v>
      </c>
      <c r="C147">
        <v>6.7</v>
      </c>
      <c r="D147">
        <v>3</v>
      </c>
      <c r="E147">
        <v>5.2</v>
      </c>
      <c r="F147">
        <v>2.2999999999999998</v>
      </c>
      <c r="G147" s="3" t="s">
        <v>8</v>
      </c>
    </row>
    <row r="148" spans="1:7">
      <c r="A148">
        <v>4</v>
      </c>
      <c r="C148">
        <v>6.3</v>
      </c>
      <c r="D148">
        <v>2.5</v>
      </c>
      <c r="E148">
        <v>5</v>
      </c>
      <c r="F148">
        <v>1.9</v>
      </c>
      <c r="G148" s="3" t="s">
        <v>8</v>
      </c>
    </row>
    <row r="149" spans="1:7">
      <c r="A149">
        <v>1</v>
      </c>
      <c r="C149">
        <v>6.5</v>
      </c>
      <c r="D149">
        <v>3</v>
      </c>
      <c r="E149">
        <v>5.2</v>
      </c>
      <c r="F149">
        <v>2</v>
      </c>
      <c r="G149" s="3" t="s">
        <v>8</v>
      </c>
    </row>
    <row r="150" spans="1:7">
      <c r="A150">
        <v>1</v>
      </c>
      <c r="C150">
        <v>6.2</v>
      </c>
      <c r="D150">
        <v>3.4</v>
      </c>
      <c r="E150">
        <v>5.4</v>
      </c>
      <c r="F150">
        <v>2.2999999999999998</v>
      </c>
      <c r="G150" s="3" t="s">
        <v>8</v>
      </c>
    </row>
    <row r="151" spans="1:7">
      <c r="A151">
        <v>4</v>
      </c>
      <c r="C151">
        <v>5.9</v>
      </c>
      <c r="D151">
        <v>3</v>
      </c>
      <c r="E151">
        <v>5.0999999999999996</v>
      </c>
      <c r="F151">
        <v>1.8</v>
      </c>
      <c r="G151" s="3" t="s">
        <v>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321612-99C0-458E-91E7-C4AA8324D38F}">
  <sheetPr codeName="Sheet12"/>
  <dimension ref="A1"/>
  <sheetViews>
    <sheetView workbookViewId="0">
      <selection activeCell="E34" sqref="E34"/>
    </sheetView>
  </sheetViews>
  <sheetFormatPr defaultRowHeight="14.6"/>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34ABB-551D-4420-9076-7FC3372234E8}">
  <sheetPr codeName="Sheet7"/>
  <dimension ref="A1:CD170"/>
  <sheetViews>
    <sheetView zoomScale="58" zoomScaleNormal="97" workbookViewId="0">
      <selection activeCell="Y17" sqref="X17:Y17"/>
    </sheetView>
  </sheetViews>
  <sheetFormatPr defaultRowHeight="14.6"/>
  <sheetData>
    <row r="1" spans="1:82">
      <c r="A1" s="15"/>
      <c r="B1" s="16"/>
      <c r="C1" s="16"/>
      <c r="D1" s="16"/>
      <c r="E1" s="16"/>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7"/>
      <c r="AQ1" s="17"/>
      <c r="AR1" s="17"/>
      <c r="AS1" s="17"/>
      <c r="AT1" s="17"/>
      <c r="AU1" s="17"/>
      <c r="AV1" s="17"/>
      <c r="AW1" s="17"/>
      <c r="AX1" s="17"/>
      <c r="AY1" s="17"/>
      <c r="AZ1" s="17"/>
      <c r="BA1" s="17"/>
      <c r="BB1" s="17"/>
      <c r="BC1" s="17"/>
      <c r="BD1" s="17"/>
      <c r="BE1" s="17"/>
      <c r="BF1" s="17"/>
      <c r="BG1" s="17"/>
      <c r="BH1" s="17"/>
      <c r="BI1" s="17"/>
      <c r="BJ1" s="17"/>
      <c r="BK1" s="17"/>
      <c r="BL1" s="17"/>
      <c r="BM1" s="17"/>
      <c r="BN1" s="17"/>
      <c r="BO1" s="17"/>
      <c r="BP1" s="17"/>
      <c r="BQ1" s="17"/>
      <c r="BR1" s="17"/>
      <c r="BS1" s="17"/>
      <c r="BT1" s="17"/>
      <c r="BU1" s="17"/>
      <c r="BV1" s="17"/>
      <c r="BW1" s="17"/>
      <c r="BX1" s="17"/>
      <c r="BY1" s="17"/>
      <c r="BZ1" s="17"/>
      <c r="CA1" s="17"/>
      <c r="CB1" s="17"/>
      <c r="CC1" s="17"/>
      <c r="CD1" s="18"/>
    </row>
    <row r="2" spans="1:82" ht="20.149999999999999" thickBot="1">
      <c r="A2" s="19"/>
      <c r="B2" s="20" t="s">
        <v>14</v>
      </c>
      <c r="C2" s="21"/>
      <c r="D2" s="21"/>
      <c r="E2" s="21"/>
      <c r="F2" s="22"/>
      <c r="G2" s="114" t="s">
        <v>30</v>
      </c>
      <c r="H2" s="114"/>
      <c r="I2" s="114"/>
      <c r="J2" s="23"/>
      <c r="K2" s="23"/>
      <c r="L2" s="23"/>
      <c r="M2" s="23"/>
      <c r="N2" s="23"/>
      <c r="O2" s="23"/>
      <c r="P2" s="23"/>
      <c r="Q2" s="23"/>
      <c r="R2" s="23"/>
      <c r="S2" s="23"/>
      <c r="T2" s="23"/>
      <c r="U2" s="23"/>
      <c r="V2" s="23"/>
      <c r="W2" s="23"/>
      <c r="X2" s="23"/>
      <c r="Y2" s="23"/>
      <c r="Z2" s="23"/>
      <c r="AA2" s="23"/>
      <c r="AB2" s="23"/>
      <c r="AC2" s="23"/>
      <c r="AD2" s="23"/>
      <c r="AE2" s="23"/>
      <c r="AF2" s="23"/>
      <c r="AG2" s="23"/>
      <c r="AH2" s="23"/>
      <c r="AI2" s="23"/>
      <c r="AJ2" s="23"/>
      <c r="AK2" s="23"/>
      <c r="AL2" s="23"/>
      <c r="AM2" s="23"/>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3"/>
      <c r="BQ2" s="23"/>
      <c r="BR2" s="23"/>
      <c r="BS2" s="23"/>
      <c r="BT2" s="23"/>
      <c r="BU2" s="23"/>
      <c r="BV2" s="23"/>
      <c r="BW2" s="23"/>
      <c r="BX2" s="23"/>
      <c r="BY2" s="23"/>
      <c r="BZ2" s="23"/>
      <c r="CA2" s="23"/>
      <c r="CB2" s="23"/>
      <c r="CC2" s="23"/>
    </row>
    <row r="3" spans="1:82" ht="15" thickTop="1">
      <c r="A3" s="19"/>
      <c r="B3" s="21"/>
      <c r="C3" s="21"/>
      <c r="D3" s="21"/>
      <c r="E3" s="21"/>
      <c r="F3" s="24"/>
      <c r="G3" s="114"/>
      <c r="H3" s="114"/>
      <c r="I3" s="114"/>
      <c r="J3" s="24"/>
      <c r="K3" s="24"/>
      <c r="L3" s="24"/>
      <c r="M3" s="24"/>
      <c r="N3" s="24"/>
      <c r="O3" s="24"/>
      <c r="P3" s="24"/>
      <c r="Q3" s="24"/>
      <c r="R3" s="24"/>
      <c r="S3" s="24"/>
      <c r="T3" s="24"/>
      <c r="U3" s="24"/>
      <c r="V3" s="24"/>
      <c r="W3" s="24"/>
      <c r="X3" s="24"/>
      <c r="Y3" s="24"/>
      <c r="Z3" s="24"/>
      <c r="AA3" s="24"/>
      <c r="AB3" s="24"/>
      <c r="AC3" s="24"/>
      <c r="AD3" s="24"/>
      <c r="AE3" s="24"/>
      <c r="AF3" s="24"/>
      <c r="AG3" s="24"/>
      <c r="AH3" s="24"/>
      <c r="AI3" s="24"/>
      <c r="AJ3" s="24"/>
      <c r="AK3" s="24"/>
      <c r="AL3" s="24"/>
      <c r="AM3" s="24"/>
      <c r="AN3" s="24"/>
      <c r="AO3" s="24"/>
      <c r="AP3" s="24"/>
      <c r="AQ3" s="24"/>
      <c r="AR3" s="24"/>
      <c r="AS3" s="24"/>
      <c r="AT3" s="24"/>
      <c r="AU3" s="24"/>
      <c r="AV3" s="24"/>
      <c r="AW3" s="24"/>
      <c r="AX3" s="24"/>
      <c r="AY3" s="24"/>
      <c r="AZ3" s="24"/>
      <c r="BA3" s="24"/>
      <c r="BB3" s="24"/>
      <c r="BC3" s="24"/>
      <c r="BD3" s="24"/>
      <c r="BE3" s="24"/>
      <c r="BF3" s="24"/>
      <c r="BG3" s="24"/>
      <c r="BH3" s="24"/>
      <c r="BI3" s="24"/>
      <c r="BJ3" s="24"/>
      <c r="BK3" s="24"/>
      <c r="BL3" s="24"/>
      <c r="BM3" s="24"/>
      <c r="BN3" s="24"/>
      <c r="BO3" s="24"/>
      <c r="BP3" s="24"/>
      <c r="BQ3" s="24"/>
      <c r="BR3" s="24"/>
      <c r="BS3" s="24"/>
      <c r="BT3" s="24"/>
      <c r="BU3" s="24"/>
      <c r="BV3" s="24"/>
      <c r="BW3" s="24"/>
      <c r="BX3" s="24"/>
      <c r="BY3" s="24"/>
      <c r="BZ3" s="24"/>
      <c r="CA3" s="24"/>
      <c r="CB3" s="24"/>
      <c r="CC3" s="24"/>
    </row>
    <row r="4" spans="1:82">
      <c r="A4" s="19"/>
      <c r="B4" s="21"/>
      <c r="C4" s="21"/>
      <c r="D4" s="21"/>
      <c r="E4" s="21"/>
      <c r="F4" s="24"/>
      <c r="G4" s="25"/>
      <c r="H4" s="115"/>
      <c r="I4" s="115"/>
      <c r="J4" s="115"/>
      <c r="K4" s="115"/>
      <c r="L4" s="25"/>
      <c r="M4" s="25"/>
      <c r="N4" s="25"/>
      <c r="O4" s="25"/>
      <c r="P4" s="25"/>
      <c r="Q4" s="25"/>
      <c r="R4" s="25"/>
      <c r="S4" s="25"/>
      <c r="T4" s="25"/>
      <c r="U4" s="24"/>
      <c r="V4" s="25"/>
      <c r="W4" s="115"/>
      <c r="X4" s="115"/>
      <c r="Y4" s="115"/>
      <c r="Z4" s="25"/>
      <c r="AA4" s="25"/>
      <c r="AB4" s="25"/>
      <c r="AC4" s="25"/>
      <c r="AD4" s="24"/>
      <c r="AE4" s="24"/>
      <c r="AF4" s="24"/>
      <c r="AG4" s="24"/>
      <c r="AH4" s="24"/>
      <c r="AI4" s="24"/>
      <c r="AJ4" s="24"/>
      <c r="AK4" s="24"/>
      <c r="AL4" s="24"/>
      <c r="AM4" s="24"/>
      <c r="AN4" s="24"/>
      <c r="AO4" s="24"/>
      <c r="AP4" s="24"/>
      <c r="AQ4" s="24"/>
      <c r="AR4" s="24"/>
      <c r="AS4" s="24"/>
      <c r="AT4" s="24"/>
      <c r="AU4" s="24"/>
      <c r="AV4" s="24"/>
      <c r="AW4" s="24"/>
      <c r="AX4" s="24"/>
      <c r="AY4" s="24"/>
      <c r="AZ4" s="24"/>
      <c r="BA4" s="24"/>
      <c r="BB4" s="24"/>
      <c r="BC4" s="24"/>
      <c r="BD4" s="24"/>
      <c r="BE4" s="24"/>
      <c r="BF4" s="24"/>
      <c r="BG4" s="24"/>
      <c r="BH4" s="24"/>
      <c r="BI4" s="24"/>
      <c r="BJ4" s="24"/>
      <c r="BK4" s="24"/>
      <c r="BL4" s="24"/>
      <c r="BM4" s="24"/>
      <c r="BN4" s="24"/>
      <c r="BO4" s="24"/>
      <c r="BP4" s="24"/>
      <c r="BQ4" s="24"/>
      <c r="BR4" s="24"/>
      <c r="BS4" s="24"/>
      <c r="BT4" s="24"/>
      <c r="BU4" s="24"/>
      <c r="BV4" s="24"/>
      <c r="BW4" s="24"/>
      <c r="BX4" s="24"/>
      <c r="BY4" s="24"/>
      <c r="BZ4" s="24"/>
      <c r="CA4" s="24"/>
      <c r="CB4" s="24"/>
      <c r="CC4" s="24"/>
    </row>
    <row r="5" spans="1:82">
      <c r="A5" s="19"/>
      <c r="B5" s="21"/>
      <c r="C5" s="21"/>
      <c r="D5" s="21"/>
      <c r="E5" s="21"/>
      <c r="F5" s="24"/>
      <c r="G5" s="25"/>
      <c r="H5" s="115"/>
      <c r="I5" s="115"/>
      <c r="J5" s="115"/>
      <c r="K5" s="115"/>
      <c r="L5" s="25"/>
      <c r="M5" s="25"/>
      <c r="N5" s="25"/>
      <c r="O5" s="25"/>
      <c r="P5" s="25"/>
      <c r="Q5" s="25"/>
      <c r="R5" s="25"/>
      <c r="S5" s="25"/>
      <c r="T5" s="25"/>
      <c r="U5" s="24"/>
      <c r="V5" s="25"/>
      <c r="W5" s="115"/>
      <c r="X5" s="115"/>
      <c r="Y5" s="115"/>
      <c r="Z5" s="25"/>
      <c r="AA5" s="25"/>
      <c r="AB5" s="25"/>
      <c r="AC5" s="25"/>
      <c r="AD5" s="24"/>
      <c r="AE5" s="24"/>
      <c r="AF5" s="24"/>
      <c r="AG5" s="24"/>
      <c r="AH5" s="24"/>
      <c r="AI5" s="24"/>
      <c r="AJ5" s="24"/>
      <c r="AK5" s="24"/>
      <c r="AL5" s="24"/>
      <c r="AM5" s="24"/>
      <c r="AN5" s="24"/>
      <c r="AO5" s="24"/>
      <c r="AP5" s="24"/>
      <c r="AQ5" s="24"/>
      <c r="AR5" s="24"/>
      <c r="AS5" s="24"/>
      <c r="AT5" s="24"/>
      <c r="AU5" s="24"/>
      <c r="AV5" s="24"/>
      <c r="AW5" s="24"/>
      <c r="AX5" s="24"/>
      <c r="AY5" s="24"/>
      <c r="AZ5" s="24"/>
      <c r="BA5" s="24"/>
      <c r="BB5" s="24"/>
      <c r="BC5" s="24"/>
      <c r="BD5" s="24"/>
      <c r="BE5" s="24"/>
      <c r="BF5" s="24"/>
      <c r="BG5" s="24"/>
      <c r="BH5" s="24"/>
      <c r="BI5" s="24"/>
      <c r="BJ5" s="24"/>
      <c r="BK5" s="24"/>
      <c r="BL5" s="24"/>
      <c r="BM5" s="24"/>
      <c r="BN5" s="24"/>
      <c r="BO5" s="24"/>
      <c r="BP5" s="24"/>
      <c r="BQ5" s="24"/>
      <c r="BR5" s="24"/>
      <c r="BS5" s="24"/>
      <c r="BT5" s="24"/>
      <c r="BU5" s="24"/>
      <c r="BV5" s="24"/>
      <c r="BW5" s="24"/>
      <c r="BX5" s="24"/>
      <c r="BY5" s="24"/>
      <c r="BZ5" s="24"/>
      <c r="CA5" s="24"/>
      <c r="CB5" s="24"/>
      <c r="CC5" s="24"/>
    </row>
    <row r="6" spans="1:82">
      <c r="A6" s="19"/>
      <c r="B6" s="21"/>
      <c r="C6" s="21"/>
      <c r="D6" s="21"/>
      <c r="E6" s="21"/>
      <c r="F6" s="24"/>
      <c r="G6" s="25"/>
      <c r="H6" s="25"/>
      <c r="I6" s="25"/>
      <c r="J6" s="25"/>
      <c r="K6" s="25"/>
      <c r="L6" s="25"/>
      <c r="M6" s="25"/>
      <c r="N6" s="25"/>
      <c r="O6" s="25"/>
      <c r="P6" s="25"/>
      <c r="Q6" s="25"/>
      <c r="R6" s="25"/>
      <c r="S6" s="25"/>
      <c r="T6" s="25"/>
      <c r="U6" s="24"/>
      <c r="V6" s="25"/>
      <c r="W6" s="25"/>
      <c r="X6" s="25"/>
      <c r="Y6" s="25"/>
      <c r="Z6" s="25"/>
      <c r="AA6" s="25"/>
      <c r="AB6" s="25"/>
      <c r="AC6" s="25"/>
      <c r="AD6" s="24"/>
      <c r="AE6" s="24"/>
      <c r="AF6" s="24"/>
      <c r="AG6" s="24"/>
      <c r="AH6" s="24"/>
      <c r="AI6" s="24"/>
      <c r="AJ6" s="24"/>
      <c r="AK6" s="24"/>
      <c r="AL6" s="24"/>
      <c r="AM6" s="24"/>
      <c r="AN6" s="24"/>
      <c r="AO6" s="24"/>
      <c r="AP6" s="24"/>
      <c r="AQ6" s="24"/>
      <c r="AR6" s="24"/>
      <c r="AS6" s="24"/>
      <c r="AT6" s="24"/>
      <c r="AU6" s="24"/>
      <c r="AV6" s="24"/>
      <c r="AW6" s="24"/>
      <c r="AX6" s="24"/>
      <c r="AY6" s="24"/>
      <c r="AZ6" s="24"/>
      <c r="BA6" s="24"/>
      <c r="BB6" s="24"/>
      <c r="BC6" s="24"/>
      <c r="BD6" s="24"/>
      <c r="BE6" s="24"/>
      <c r="BF6" s="24"/>
      <c r="BG6" s="24"/>
      <c r="BH6" s="24"/>
      <c r="BI6" s="24"/>
      <c r="BJ6" s="24"/>
      <c r="BK6" s="24"/>
      <c r="BL6" s="24"/>
      <c r="BM6" s="24"/>
      <c r="BN6" s="24"/>
      <c r="BO6" s="24"/>
      <c r="BP6" s="24"/>
      <c r="BQ6" s="24"/>
      <c r="BR6" s="24"/>
      <c r="BS6" s="24"/>
      <c r="BT6" s="24"/>
      <c r="BU6" s="24"/>
      <c r="BV6" s="24"/>
      <c r="BW6" s="24"/>
      <c r="BX6" s="24"/>
      <c r="BY6" s="24"/>
      <c r="BZ6" s="24"/>
      <c r="CA6" s="24"/>
      <c r="CB6" s="24"/>
      <c r="CC6" s="24"/>
    </row>
    <row r="7" spans="1:82">
      <c r="A7" s="21"/>
      <c r="B7" s="21"/>
      <c r="C7" s="21"/>
      <c r="D7" s="21"/>
      <c r="E7" s="21"/>
      <c r="F7" s="24"/>
      <c r="G7" s="25"/>
      <c r="H7" s="46"/>
      <c r="I7" s="46"/>
      <c r="J7" s="46"/>
      <c r="K7" s="46"/>
      <c r="L7" s="46"/>
      <c r="M7" s="46"/>
      <c r="N7" s="46"/>
      <c r="O7" s="46"/>
      <c r="P7" s="46"/>
      <c r="Q7" s="46"/>
      <c r="R7" s="46"/>
      <c r="S7" s="46"/>
      <c r="T7" s="25"/>
      <c r="U7" s="24"/>
      <c r="V7" s="25"/>
      <c r="W7" s="25"/>
      <c r="X7" s="25"/>
      <c r="Y7" s="25"/>
      <c r="Z7" s="25"/>
      <c r="AA7" s="25"/>
      <c r="AB7" s="25"/>
      <c r="AC7" s="25"/>
      <c r="AD7" s="24"/>
      <c r="AE7" s="24"/>
      <c r="AF7" s="24"/>
      <c r="AG7" s="24"/>
      <c r="AH7" s="24"/>
      <c r="AI7" s="24"/>
      <c r="AJ7" s="24"/>
      <c r="AK7" s="24"/>
      <c r="AL7" s="24"/>
      <c r="AM7" s="24"/>
      <c r="AN7" s="24"/>
      <c r="AO7" s="24"/>
      <c r="AP7" s="24"/>
      <c r="AQ7" s="24"/>
      <c r="AR7" s="24"/>
      <c r="AS7" s="24"/>
      <c r="AT7" s="24"/>
      <c r="AU7" s="24"/>
      <c r="AV7" s="24"/>
      <c r="AW7" s="24"/>
      <c r="AX7" s="24"/>
      <c r="AY7" s="24"/>
      <c r="AZ7" s="24"/>
      <c r="BA7" s="24"/>
      <c r="BB7" s="24"/>
      <c r="BC7" s="24"/>
      <c r="BD7" s="24"/>
      <c r="BE7" s="24"/>
      <c r="BF7" s="24"/>
      <c r="BG7" s="24"/>
      <c r="BH7" s="24"/>
      <c r="BI7" s="24"/>
      <c r="BJ7" s="24"/>
      <c r="BK7" s="24"/>
      <c r="BL7" s="24"/>
      <c r="BM7" s="24"/>
      <c r="BN7" s="24"/>
      <c r="BO7" s="24"/>
      <c r="BP7" s="24"/>
      <c r="BQ7" s="24"/>
      <c r="BR7" s="24"/>
      <c r="BS7" s="24"/>
      <c r="BT7" s="24"/>
      <c r="BU7" s="24"/>
      <c r="BV7" s="24"/>
      <c r="BW7" s="24"/>
      <c r="BX7" s="24"/>
      <c r="BY7" s="24"/>
      <c r="BZ7" s="24"/>
      <c r="CA7" s="24"/>
      <c r="CB7" s="24"/>
      <c r="CC7" s="24"/>
    </row>
    <row r="8" spans="1:82">
      <c r="A8" s="21"/>
      <c r="B8" s="21"/>
      <c r="C8" s="21"/>
      <c r="D8" s="21"/>
      <c r="E8" s="21"/>
      <c r="F8" s="24"/>
      <c r="G8" s="25"/>
      <c r="H8" s="46"/>
      <c r="I8" s="46"/>
      <c r="J8" s="46"/>
      <c r="K8" s="46"/>
      <c r="L8" s="46"/>
      <c r="M8" s="46"/>
      <c r="N8" s="46"/>
      <c r="O8" s="46"/>
      <c r="P8" s="46"/>
      <c r="Q8" s="46"/>
      <c r="R8" s="46"/>
      <c r="S8" s="46"/>
      <c r="T8" s="25"/>
      <c r="U8" s="24"/>
      <c r="V8" s="25"/>
      <c r="W8" s="25"/>
      <c r="X8" s="25"/>
      <c r="Y8" s="25"/>
      <c r="Z8" s="25"/>
      <c r="AA8" s="25"/>
      <c r="AB8" s="25"/>
      <c r="AC8" s="25"/>
      <c r="AD8" s="24"/>
      <c r="AE8" s="24"/>
      <c r="AF8" s="24"/>
      <c r="AG8" s="24"/>
      <c r="AH8" s="24"/>
      <c r="AI8" s="24"/>
      <c r="AJ8" s="24"/>
      <c r="AK8" s="24"/>
      <c r="AL8" s="24"/>
      <c r="AM8" s="24"/>
      <c r="AN8" s="24"/>
      <c r="AO8" s="24"/>
      <c r="AP8" s="24"/>
      <c r="AQ8" s="24"/>
      <c r="AR8" s="24"/>
      <c r="AS8" s="24"/>
      <c r="AT8" s="24"/>
      <c r="AU8" s="24"/>
      <c r="AV8" s="24"/>
      <c r="AW8" s="24"/>
      <c r="AX8" s="24"/>
      <c r="AY8" s="24"/>
      <c r="AZ8" s="24"/>
      <c r="BA8" s="24"/>
      <c r="BB8" s="24"/>
      <c r="BC8" s="24"/>
      <c r="BD8" s="24"/>
      <c r="BE8" s="24"/>
      <c r="BF8" s="24"/>
      <c r="BG8" s="24"/>
      <c r="BH8" s="24"/>
      <c r="BI8" s="24"/>
      <c r="BJ8" s="24"/>
      <c r="BK8" s="24"/>
      <c r="BL8" s="24"/>
      <c r="BM8" s="24"/>
      <c r="BN8" s="24"/>
      <c r="BO8" s="24"/>
      <c r="BP8" s="24"/>
      <c r="BQ8" s="24"/>
      <c r="BR8" s="24"/>
      <c r="BS8" s="24"/>
      <c r="BT8" s="24"/>
      <c r="BU8" s="24"/>
      <c r="BV8" s="24"/>
      <c r="BW8" s="24"/>
      <c r="BX8" s="24"/>
      <c r="BY8" s="24"/>
      <c r="BZ8" s="24"/>
      <c r="CA8" s="24"/>
      <c r="CB8" s="24"/>
      <c r="CC8" s="24"/>
    </row>
    <row r="9" spans="1:82">
      <c r="A9" s="21"/>
      <c r="B9" s="21"/>
      <c r="C9" s="21"/>
      <c r="D9" s="21"/>
      <c r="E9" s="21"/>
      <c r="F9" s="24"/>
      <c r="G9" s="25"/>
      <c r="H9" s="46"/>
      <c r="I9" s="46"/>
      <c r="J9" s="46"/>
      <c r="K9" s="46"/>
      <c r="L9" s="46"/>
      <c r="M9" s="46"/>
      <c r="N9" s="46"/>
      <c r="O9" s="46"/>
      <c r="P9" s="46"/>
      <c r="Q9" s="46"/>
      <c r="R9" s="46"/>
      <c r="S9" s="46"/>
      <c r="T9" s="25"/>
      <c r="U9" s="24"/>
      <c r="V9" s="25"/>
      <c r="W9" s="46"/>
      <c r="X9" s="46"/>
      <c r="Y9" s="46"/>
      <c r="Z9" s="46"/>
      <c r="AA9" s="46"/>
      <c r="AB9" s="46"/>
      <c r="AC9" s="25"/>
      <c r="AD9" s="24"/>
      <c r="AE9" s="24"/>
      <c r="AF9" s="24"/>
      <c r="AG9" s="24"/>
      <c r="AH9" s="24"/>
      <c r="AI9" s="24"/>
      <c r="AJ9" s="24"/>
      <c r="AK9" s="24"/>
      <c r="AL9" s="24"/>
      <c r="AM9" s="24"/>
      <c r="AN9" s="24"/>
      <c r="AO9" s="24"/>
      <c r="AP9" s="24"/>
      <c r="AQ9" s="24"/>
      <c r="AR9" s="24"/>
      <c r="AS9" s="24"/>
      <c r="AT9" s="24"/>
      <c r="AU9" s="24"/>
      <c r="AV9" s="24"/>
      <c r="AW9" s="24"/>
      <c r="AX9" s="24"/>
      <c r="AY9" s="24"/>
      <c r="AZ9" s="24"/>
      <c r="BA9" s="24"/>
      <c r="BB9" s="24"/>
      <c r="BC9" s="24"/>
      <c r="BD9" s="24"/>
      <c r="BE9" s="24"/>
      <c r="BF9" s="24"/>
      <c r="BG9" s="24"/>
      <c r="BH9" s="24"/>
      <c r="BI9" s="24"/>
      <c r="BJ9" s="24"/>
      <c r="BK9" s="24"/>
      <c r="BL9" s="24"/>
      <c r="BM9" s="24"/>
      <c r="BN9" s="24"/>
      <c r="BO9" s="24"/>
      <c r="BP9" s="24"/>
      <c r="BQ9" s="24"/>
      <c r="BR9" s="24"/>
      <c r="BS9" s="24"/>
      <c r="BT9" s="24"/>
      <c r="BU9" s="24"/>
      <c r="BV9" s="24"/>
      <c r="BW9" s="24"/>
      <c r="BX9" s="24"/>
      <c r="BY9" s="24"/>
      <c r="BZ9" s="24"/>
      <c r="CA9" s="24"/>
      <c r="CB9" s="24"/>
      <c r="CC9" s="24"/>
    </row>
    <row r="10" spans="1:82">
      <c r="A10" s="21"/>
      <c r="B10" s="21"/>
      <c r="C10" s="21"/>
      <c r="D10" s="21"/>
      <c r="E10" s="21"/>
      <c r="F10" s="24"/>
      <c r="G10" s="25"/>
      <c r="H10" s="46"/>
      <c r="I10" s="46"/>
      <c r="J10" s="46"/>
      <c r="K10" s="46"/>
      <c r="L10" s="46"/>
      <c r="M10" s="46"/>
      <c r="N10" s="46"/>
      <c r="O10" s="46"/>
      <c r="P10" s="46"/>
      <c r="Q10" s="46"/>
      <c r="R10" s="46"/>
      <c r="S10" s="46"/>
      <c r="T10" s="25"/>
      <c r="U10" s="24"/>
      <c r="V10" s="25"/>
      <c r="W10" s="46"/>
      <c r="X10" s="46"/>
      <c r="Y10" s="46"/>
      <c r="Z10" s="46"/>
      <c r="AA10" s="46"/>
      <c r="AB10" s="46"/>
      <c r="AC10" s="25"/>
      <c r="AD10" s="24"/>
      <c r="AE10" s="24"/>
      <c r="AF10" s="24"/>
      <c r="AG10" s="24"/>
      <c r="AH10" s="24"/>
      <c r="AI10" s="24"/>
      <c r="AJ10" s="24"/>
      <c r="AK10" s="24"/>
      <c r="AL10" s="24"/>
      <c r="AM10" s="24"/>
      <c r="AN10" s="24"/>
      <c r="AO10" s="24"/>
      <c r="AP10" s="24"/>
      <c r="AQ10" s="24"/>
      <c r="AR10" s="24"/>
      <c r="AS10" s="24"/>
      <c r="AT10" s="24"/>
      <c r="AU10" s="24"/>
      <c r="AV10" s="24"/>
      <c r="AW10" s="24"/>
      <c r="AX10" s="24"/>
      <c r="AY10" s="24"/>
      <c r="AZ10" s="24"/>
      <c r="BA10" s="24"/>
      <c r="BB10" s="24"/>
      <c r="BC10" s="24"/>
      <c r="BD10" s="24"/>
      <c r="BE10" s="24"/>
      <c r="BF10" s="24"/>
      <c r="BG10" s="24"/>
      <c r="BH10" s="24"/>
      <c r="BI10" s="24"/>
      <c r="BJ10" s="24"/>
      <c r="BK10" s="24"/>
      <c r="BL10" s="24"/>
      <c r="BM10" s="24"/>
      <c r="BN10" s="24"/>
      <c r="BO10" s="24"/>
      <c r="BP10" s="24"/>
      <c r="BQ10" s="24"/>
      <c r="BR10" s="24"/>
      <c r="BS10" s="24"/>
      <c r="BT10" s="24"/>
      <c r="BU10" s="24"/>
      <c r="BV10" s="24"/>
      <c r="BW10" s="24"/>
      <c r="BX10" s="24"/>
      <c r="BY10" s="24"/>
      <c r="BZ10" s="24"/>
      <c r="CA10" s="24"/>
      <c r="CB10" s="24"/>
      <c r="CC10" s="24"/>
    </row>
    <row r="11" spans="1:82">
      <c r="A11" s="26"/>
      <c r="B11" s="27"/>
      <c r="C11" s="27"/>
      <c r="D11" s="27"/>
      <c r="E11" s="28"/>
      <c r="F11" s="24"/>
      <c r="G11" s="25"/>
      <c r="H11" s="46"/>
      <c r="I11" s="46"/>
      <c r="J11" s="46"/>
      <c r="K11" s="46"/>
      <c r="L11" s="46"/>
      <c r="M11" s="46"/>
      <c r="N11" s="46"/>
      <c r="O11" s="46"/>
      <c r="P11" s="46"/>
      <c r="Q11" s="46"/>
      <c r="R11" s="46"/>
      <c r="S11" s="46"/>
      <c r="T11" s="25"/>
      <c r="U11" s="24"/>
      <c r="V11" s="25"/>
      <c r="W11" s="46"/>
      <c r="X11" s="46"/>
      <c r="Y11" s="46"/>
      <c r="Z11" s="46"/>
      <c r="AA11" s="46"/>
      <c r="AB11" s="46"/>
      <c r="AC11" s="25"/>
      <c r="AD11" s="24"/>
      <c r="AE11" s="24"/>
      <c r="AF11" s="24"/>
      <c r="AG11" s="24"/>
      <c r="AH11" s="24"/>
      <c r="AI11" s="24"/>
      <c r="AJ11" s="24"/>
      <c r="AK11" s="24"/>
      <c r="AL11" s="24"/>
      <c r="AM11" s="24"/>
      <c r="AN11" s="24"/>
      <c r="AO11" s="24"/>
      <c r="AP11" s="24"/>
      <c r="AQ11" s="24"/>
      <c r="AR11" s="24"/>
      <c r="AS11" s="24"/>
      <c r="AT11" s="24"/>
      <c r="AU11" s="24"/>
      <c r="AV11" s="24"/>
      <c r="AW11" s="24"/>
      <c r="AX11" s="24"/>
      <c r="AY11" s="24"/>
      <c r="AZ11" s="24"/>
      <c r="BA11" s="24"/>
      <c r="BB11" s="24"/>
      <c r="BC11" s="24"/>
      <c r="BD11" s="24"/>
      <c r="BE11" s="24"/>
      <c r="BF11" s="24"/>
      <c r="BG11" s="24"/>
      <c r="BH11" s="24"/>
      <c r="BI11" s="24"/>
      <c r="BJ11" s="24"/>
      <c r="BK11" s="24"/>
      <c r="BL11" s="24"/>
      <c r="BM11" s="24"/>
      <c r="BN11" s="24"/>
      <c r="BO11" s="24"/>
      <c r="BP11" s="24"/>
      <c r="BQ11" s="24"/>
      <c r="BR11" s="24"/>
      <c r="BS11" s="24"/>
      <c r="BT11" s="24"/>
      <c r="BU11" s="24"/>
      <c r="BV11" s="24"/>
      <c r="BW11" s="24"/>
      <c r="BX11" s="24"/>
      <c r="BY11" s="24"/>
      <c r="BZ11" s="24"/>
      <c r="CA11" s="24"/>
      <c r="CB11" s="24"/>
      <c r="CC11" s="24"/>
    </row>
    <row r="12" spans="1:82" ht="20.6">
      <c r="A12" s="29"/>
      <c r="B12" s="30"/>
      <c r="C12" s="119" t="s">
        <v>19</v>
      </c>
      <c r="D12" s="119"/>
      <c r="E12" s="120"/>
      <c r="F12" s="24"/>
      <c r="G12" s="25"/>
      <c r="H12" s="46"/>
      <c r="I12" s="46"/>
      <c r="J12" s="46"/>
      <c r="K12" s="46"/>
      <c r="L12" s="46"/>
      <c r="M12" s="46"/>
      <c r="N12" s="46"/>
      <c r="O12" s="46"/>
      <c r="P12" s="46"/>
      <c r="Q12" s="46"/>
      <c r="R12" s="46"/>
      <c r="S12" s="46"/>
      <c r="T12" s="25"/>
      <c r="U12" s="24"/>
      <c r="V12" s="25"/>
      <c r="W12" s="46"/>
      <c r="X12" s="46"/>
      <c r="Y12" s="46"/>
      <c r="Z12" s="46"/>
      <c r="AA12" s="46"/>
      <c r="AB12" s="46"/>
      <c r="AC12" s="25"/>
      <c r="AD12" s="24"/>
      <c r="AE12" s="24"/>
      <c r="AF12" s="24"/>
      <c r="AG12" s="24"/>
      <c r="AH12" s="24"/>
      <c r="AI12" s="24"/>
      <c r="AJ12" s="24"/>
      <c r="AK12" s="24"/>
      <c r="AL12" s="24"/>
      <c r="AM12" s="24"/>
      <c r="AN12" s="24"/>
      <c r="AO12" s="24"/>
      <c r="AP12" s="24"/>
      <c r="AQ12" s="24"/>
      <c r="AR12" s="24"/>
      <c r="AS12" s="24"/>
      <c r="AT12" s="24"/>
      <c r="AU12" s="24"/>
      <c r="AV12" s="24"/>
      <c r="AW12" s="24"/>
      <c r="AX12" s="24"/>
      <c r="AY12" s="24"/>
      <c r="AZ12" s="24"/>
      <c r="BA12" s="24"/>
      <c r="BB12" s="24"/>
      <c r="BC12" s="24"/>
      <c r="BD12" s="24"/>
      <c r="BE12" s="24"/>
      <c r="BF12" s="24"/>
      <c r="BG12" s="24"/>
      <c r="BH12" s="24"/>
      <c r="BI12" s="24"/>
      <c r="BJ12" s="24"/>
      <c r="BK12" s="24"/>
      <c r="BL12" s="24"/>
      <c r="BM12" s="24"/>
      <c r="BN12" s="24"/>
      <c r="BO12" s="24"/>
      <c r="BP12" s="24"/>
      <c r="BQ12" s="24"/>
      <c r="BR12" s="24"/>
      <c r="BS12" s="24"/>
      <c r="BT12" s="24"/>
      <c r="BU12" s="24"/>
      <c r="BV12" s="24"/>
      <c r="BW12" s="24"/>
      <c r="BX12" s="24"/>
      <c r="BY12" s="24"/>
      <c r="BZ12" s="24"/>
      <c r="CA12" s="24"/>
      <c r="CB12" s="24"/>
      <c r="CC12" s="24"/>
    </row>
    <row r="13" spans="1:82" ht="20.6">
      <c r="A13" s="31"/>
      <c r="B13" s="32"/>
      <c r="C13" s="33"/>
      <c r="D13" s="32"/>
      <c r="E13" s="34"/>
      <c r="F13" s="24"/>
      <c r="G13" s="25"/>
      <c r="H13" s="56"/>
      <c r="I13" s="56"/>
      <c r="J13" s="56"/>
      <c r="K13" s="56"/>
      <c r="L13" s="35"/>
      <c r="M13" s="35"/>
      <c r="N13" s="35"/>
      <c r="O13" s="35"/>
      <c r="P13" s="35"/>
      <c r="Q13" s="35"/>
      <c r="R13" s="35"/>
      <c r="S13" s="35"/>
      <c r="T13" s="25"/>
      <c r="U13" s="24"/>
      <c r="V13" s="25"/>
      <c r="W13" s="46"/>
      <c r="X13" s="46"/>
      <c r="Y13" s="46"/>
      <c r="Z13" s="46"/>
      <c r="AA13" s="46"/>
      <c r="AB13" s="46"/>
      <c r="AC13" s="25"/>
      <c r="AD13" s="24"/>
      <c r="AE13" s="24"/>
      <c r="AF13" s="24"/>
      <c r="AG13" s="24"/>
      <c r="AH13" s="24"/>
      <c r="AI13" s="24"/>
      <c r="AJ13" s="24"/>
      <c r="AK13" s="24"/>
      <c r="AL13" s="24"/>
      <c r="AM13" s="24"/>
      <c r="AN13" s="24"/>
      <c r="AO13" s="24"/>
      <c r="AP13" s="24"/>
      <c r="AQ13" s="24"/>
      <c r="AR13" s="24"/>
      <c r="AS13" s="24"/>
      <c r="AT13" s="24"/>
      <c r="AU13" s="24"/>
      <c r="AV13" s="24"/>
      <c r="AW13" s="24"/>
      <c r="AX13" s="24"/>
      <c r="AY13" s="24"/>
      <c r="AZ13" s="24"/>
      <c r="BA13" s="24"/>
      <c r="BB13" s="24"/>
      <c r="BC13" s="24"/>
      <c r="BD13" s="24"/>
      <c r="BE13" s="24"/>
      <c r="BF13" s="24"/>
      <c r="BG13" s="24"/>
      <c r="BH13" s="24"/>
      <c r="BI13" s="24"/>
      <c r="BJ13" s="24"/>
      <c r="BK13" s="24"/>
      <c r="BL13" s="24"/>
      <c r="BM13" s="24"/>
      <c r="BN13" s="24"/>
      <c r="BO13" s="24"/>
      <c r="BP13" s="24"/>
      <c r="BQ13" s="24"/>
      <c r="BR13" s="24"/>
      <c r="BS13" s="24"/>
      <c r="BT13" s="24"/>
      <c r="BU13" s="24"/>
      <c r="BV13" s="24"/>
      <c r="BW13" s="24"/>
      <c r="BX13" s="24"/>
      <c r="BY13" s="24"/>
      <c r="BZ13" s="24"/>
      <c r="CA13" s="24"/>
      <c r="CB13" s="24"/>
      <c r="CC13" s="24"/>
    </row>
    <row r="14" spans="1:82" ht="20.6">
      <c r="A14" s="21"/>
      <c r="B14" s="21"/>
      <c r="C14" s="36"/>
      <c r="D14" s="21"/>
      <c r="E14" s="21"/>
      <c r="F14" s="24"/>
      <c r="G14" s="25"/>
      <c r="H14" s="56"/>
      <c r="I14" s="56"/>
      <c r="J14" s="56"/>
      <c r="K14" s="56"/>
      <c r="L14" s="35"/>
      <c r="M14" s="35"/>
      <c r="N14" s="35"/>
      <c r="O14" s="35"/>
      <c r="P14" s="35"/>
      <c r="Q14" s="35"/>
      <c r="R14" s="35"/>
      <c r="S14" s="35"/>
      <c r="T14" s="25"/>
      <c r="U14" s="24"/>
      <c r="V14" s="25"/>
      <c r="W14" s="46"/>
      <c r="X14" s="46"/>
      <c r="Y14" s="46"/>
      <c r="Z14" s="46"/>
      <c r="AA14" s="46"/>
      <c r="AB14" s="46"/>
      <c r="AC14" s="25"/>
      <c r="AD14" s="24"/>
      <c r="AE14" s="24"/>
      <c r="AF14" s="24"/>
      <c r="AG14" s="24"/>
      <c r="AH14" s="24"/>
      <c r="AI14" s="24"/>
      <c r="AJ14" s="24"/>
      <c r="AK14" s="24"/>
      <c r="AL14" s="24"/>
      <c r="AM14" s="24"/>
      <c r="AN14" s="24"/>
      <c r="AO14" s="24"/>
      <c r="AP14" s="24"/>
      <c r="AQ14" s="24"/>
      <c r="AR14" s="24"/>
      <c r="AS14" s="24"/>
      <c r="AT14" s="24"/>
      <c r="AU14" s="24"/>
      <c r="AV14" s="24"/>
      <c r="AW14" s="24"/>
      <c r="AX14" s="24"/>
      <c r="AY14" s="24"/>
      <c r="AZ14" s="24"/>
      <c r="BA14" s="24"/>
      <c r="BB14" s="24"/>
      <c r="BC14" s="24"/>
      <c r="BD14" s="24"/>
      <c r="BE14" s="24"/>
      <c r="BF14" s="24"/>
      <c r="BG14" s="24"/>
      <c r="BH14" s="24"/>
      <c r="BI14" s="24"/>
      <c r="BJ14" s="24"/>
      <c r="BK14" s="24"/>
      <c r="BL14" s="24"/>
      <c r="BM14" s="24"/>
      <c r="BN14" s="24"/>
      <c r="BO14" s="24"/>
      <c r="BP14" s="24"/>
      <c r="BQ14" s="24"/>
      <c r="BR14" s="24"/>
      <c r="BS14" s="24"/>
      <c r="BT14" s="24"/>
      <c r="BU14" s="24"/>
      <c r="BV14" s="24"/>
      <c r="BW14" s="24"/>
      <c r="BX14" s="24"/>
      <c r="BY14" s="24"/>
      <c r="BZ14" s="24"/>
      <c r="CA14" s="24"/>
      <c r="CB14" s="24"/>
      <c r="CC14" s="24"/>
    </row>
    <row r="15" spans="1:82" ht="19.75">
      <c r="A15" s="21"/>
      <c r="B15" s="21"/>
      <c r="C15" s="122" t="s">
        <v>21</v>
      </c>
      <c r="D15" s="122"/>
      <c r="E15" s="122"/>
      <c r="F15" s="24"/>
      <c r="G15" s="25"/>
      <c r="H15" s="25"/>
      <c r="I15" s="25"/>
      <c r="J15" s="25"/>
      <c r="K15" s="25"/>
      <c r="L15" s="35"/>
      <c r="M15" s="35"/>
      <c r="N15" s="25"/>
      <c r="O15" s="25"/>
      <c r="P15" s="35"/>
      <c r="Q15" s="35"/>
      <c r="R15" s="35"/>
      <c r="S15" s="35"/>
      <c r="T15" s="25"/>
      <c r="U15" s="24"/>
      <c r="V15" s="25"/>
      <c r="W15" s="46"/>
      <c r="X15" s="46"/>
      <c r="Y15" s="46"/>
      <c r="Z15" s="46"/>
      <c r="AA15" s="46"/>
      <c r="AB15" s="46"/>
      <c r="AC15" s="25"/>
      <c r="AD15" s="24"/>
      <c r="AE15" s="24"/>
      <c r="AF15" s="24"/>
      <c r="AG15" s="24"/>
      <c r="AH15" s="24"/>
      <c r="AI15" s="24"/>
      <c r="AJ15" s="24"/>
      <c r="AK15" s="24"/>
      <c r="AL15" s="24"/>
      <c r="AM15" s="24"/>
      <c r="AN15" s="24"/>
      <c r="AO15" s="24"/>
      <c r="AP15" s="24"/>
      <c r="AQ15" s="24"/>
      <c r="AR15" s="24"/>
      <c r="AS15" s="24"/>
      <c r="AT15" s="24"/>
      <c r="AU15" s="24"/>
      <c r="AV15" s="24"/>
      <c r="AW15" s="24"/>
      <c r="AX15" s="24"/>
      <c r="AY15" s="24"/>
      <c r="AZ15" s="24"/>
      <c r="BA15" s="24"/>
      <c r="BB15" s="24"/>
      <c r="BC15" s="24"/>
      <c r="BD15" s="24"/>
      <c r="BE15" s="24"/>
      <c r="BF15" s="24"/>
      <c r="BG15" s="24"/>
      <c r="BH15" s="24"/>
      <c r="BI15" s="24"/>
      <c r="BJ15" s="24"/>
      <c r="BK15" s="24"/>
      <c r="BL15" s="24"/>
      <c r="BM15" s="24"/>
      <c r="BN15" s="24"/>
      <c r="BO15" s="24"/>
      <c r="BP15" s="24"/>
      <c r="BQ15" s="24"/>
      <c r="BR15" s="24"/>
      <c r="BS15" s="24"/>
      <c r="BT15" s="24"/>
      <c r="BU15" s="24"/>
      <c r="BV15" s="24"/>
      <c r="BW15" s="24"/>
      <c r="BX15" s="24"/>
      <c r="BY15" s="24"/>
      <c r="BZ15" s="24"/>
      <c r="CA15" s="24"/>
      <c r="CB15" s="24"/>
      <c r="CC15" s="24"/>
    </row>
    <row r="16" spans="1:82" ht="21" customHeight="1">
      <c r="A16" s="21"/>
      <c r="B16" s="21"/>
      <c r="C16" s="44"/>
      <c r="D16" s="44"/>
      <c r="E16" s="44"/>
      <c r="F16" s="24"/>
      <c r="G16" s="25"/>
      <c r="H16" s="25"/>
      <c r="I16" s="25"/>
      <c r="J16" s="25"/>
      <c r="K16" s="25"/>
      <c r="L16" s="35"/>
      <c r="M16" s="35"/>
      <c r="N16" s="25"/>
      <c r="O16" s="25"/>
      <c r="P16" s="35"/>
      <c r="Q16" s="35"/>
      <c r="R16" s="35"/>
      <c r="S16" s="35"/>
      <c r="T16" s="25"/>
      <c r="U16" s="24"/>
      <c r="V16" s="25"/>
      <c r="W16" s="46"/>
      <c r="X16" s="46"/>
      <c r="Y16" s="46"/>
      <c r="Z16" s="46"/>
      <c r="AA16" s="46"/>
      <c r="AB16" s="46"/>
      <c r="AC16" s="25"/>
      <c r="AD16" s="24"/>
      <c r="AE16" s="24"/>
      <c r="AF16" s="24"/>
      <c r="AG16" s="24"/>
      <c r="AH16" s="24"/>
      <c r="AI16" s="24"/>
      <c r="AJ16" s="24"/>
      <c r="AK16" s="24"/>
      <c r="AL16" s="24"/>
      <c r="AM16" s="24"/>
      <c r="AN16" s="24"/>
      <c r="AO16" s="24"/>
      <c r="AP16" s="24"/>
      <c r="AQ16" s="24"/>
      <c r="AR16" s="24"/>
      <c r="AS16" s="24"/>
      <c r="AT16" s="24"/>
      <c r="AU16" s="24"/>
      <c r="AV16" s="24"/>
      <c r="AW16" s="24"/>
      <c r="AX16" s="24"/>
      <c r="AY16" s="24"/>
      <c r="AZ16" s="24"/>
      <c r="BA16" s="24"/>
      <c r="BB16" s="24"/>
      <c r="BC16" s="24"/>
      <c r="BD16" s="24"/>
      <c r="BE16" s="24"/>
      <c r="BF16" s="24"/>
      <c r="BG16" s="24"/>
      <c r="BH16" s="24"/>
      <c r="BI16" s="24"/>
      <c r="BJ16" s="24"/>
      <c r="BK16" s="24"/>
      <c r="BL16" s="24"/>
      <c r="BM16" s="24"/>
      <c r="BN16" s="24"/>
      <c r="BO16" s="24"/>
      <c r="BP16" s="24"/>
      <c r="BQ16" s="24"/>
      <c r="BR16" s="24"/>
      <c r="BS16" s="24"/>
      <c r="BT16" s="24"/>
      <c r="BU16" s="24"/>
      <c r="BV16" s="24"/>
      <c r="BW16" s="24"/>
      <c r="BX16" s="24"/>
      <c r="BY16" s="24"/>
      <c r="BZ16" s="24"/>
      <c r="CA16" s="24"/>
      <c r="CB16" s="24"/>
      <c r="CC16" s="24"/>
    </row>
    <row r="17" spans="1:81" ht="19.75">
      <c r="A17" s="21"/>
      <c r="B17" s="21"/>
      <c r="C17" s="44"/>
      <c r="D17" s="44"/>
      <c r="E17" s="44"/>
      <c r="F17" s="24"/>
      <c r="G17" s="25"/>
      <c r="H17" s="35"/>
      <c r="I17" s="35"/>
      <c r="J17" s="35"/>
      <c r="K17" s="35"/>
      <c r="L17" s="35"/>
      <c r="M17" s="25"/>
      <c r="N17" s="25"/>
      <c r="O17" s="25"/>
      <c r="P17" s="35"/>
      <c r="Q17" s="35"/>
      <c r="R17" s="35"/>
      <c r="S17" s="35"/>
      <c r="T17" s="25"/>
      <c r="U17" s="24"/>
      <c r="V17" s="25"/>
      <c r="W17" s="46"/>
      <c r="X17" s="46"/>
      <c r="Y17" s="46"/>
      <c r="Z17" s="46"/>
      <c r="AA17" s="46"/>
      <c r="AB17" s="46"/>
      <c r="AC17" s="25"/>
      <c r="AD17" s="24"/>
      <c r="AE17" s="24"/>
      <c r="AF17" s="24"/>
      <c r="AG17" s="24"/>
      <c r="AH17" s="24"/>
      <c r="AI17" s="24"/>
      <c r="AJ17" s="24"/>
      <c r="AK17" s="24"/>
      <c r="AL17" s="24"/>
      <c r="AM17" s="24"/>
      <c r="AN17" s="24"/>
      <c r="AO17" s="24"/>
      <c r="AP17" s="24"/>
      <c r="AQ17" s="24"/>
      <c r="AR17" s="24"/>
      <c r="AS17" s="24"/>
      <c r="AT17" s="24"/>
      <c r="AU17" s="24"/>
      <c r="AV17" s="24"/>
      <c r="AW17" s="24"/>
      <c r="AX17" s="24"/>
      <c r="AY17" s="24"/>
      <c r="AZ17" s="24"/>
      <c r="BA17" s="24"/>
      <c r="BB17" s="24"/>
      <c r="BC17" s="24"/>
      <c r="BD17" s="24"/>
      <c r="BE17" s="24"/>
      <c r="BF17" s="24"/>
      <c r="BG17" s="24"/>
      <c r="BH17" s="24"/>
      <c r="BI17" s="24"/>
      <c r="BJ17" s="24"/>
      <c r="BK17" s="24"/>
      <c r="BL17" s="24"/>
      <c r="BM17" s="24"/>
      <c r="BN17" s="24"/>
      <c r="BO17" s="24"/>
      <c r="BP17" s="24"/>
      <c r="BQ17" s="24"/>
      <c r="BR17" s="24"/>
      <c r="BS17" s="24"/>
      <c r="BT17" s="24"/>
      <c r="BU17" s="24"/>
      <c r="BV17" s="24"/>
      <c r="BW17" s="24"/>
      <c r="BX17" s="24"/>
      <c r="BY17" s="24"/>
      <c r="BZ17" s="24"/>
      <c r="CA17" s="24"/>
      <c r="CB17" s="24"/>
      <c r="CC17" s="24"/>
    </row>
    <row r="18" spans="1:81" ht="19.75">
      <c r="A18" s="21"/>
      <c r="B18" s="21"/>
      <c r="C18" s="122" t="s">
        <v>23</v>
      </c>
      <c r="D18" s="122"/>
      <c r="E18" s="122"/>
      <c r="F18" s="24"/>
      <c r="G18" s="25"/>
      <c r="H18" s="35"/>
      <c r="I18" s="35"/>
      <c r="J18" s="35"/>
      <c r="K18" s="35"/>
      <c r="L18" s="35"/>
      <c r="M18" s="25"/>
      <c r="N18" s="25"/>
      <c r="O18" s="25"/>
      <c r="P18" s="35"/>
      <c r="Q18" s="35"/>
      <c r="R18" s="35"/>
      <c r="S18" s="35"/>
      <c r="T18" s="25"/>
      <c r="U18" s="24"/>
      <c r="V18" s="24"/>
      <c r="W18" s="37"/>
      <c r="X18" s="37"/>
      <c r="Y18" s="37"/>
      <c r="Z18" s="37"/>
      <c r="AA18" s="37"/>
      <c r="AB18" s="24"/>
      <c r="AC18" s="24"/>
      <c r="AD18" s="24"/>
      <c r="AE18" s="24"/>
      <c r="AF18" s="24"/>
      <c r="AG18" s="24"/>
      <c r="AH18" s="24"/>
      <c r="AI18" s="24"/>
      <c r="AJ18" s="24"/>
      <c r="AK18" s="24"/>
      <c r="AL18" s="24"/>
      <c r="AM18" s="24"/>
      <c r="AN18" s="24"/>
      <c r="AO18" s="24"/>
      <c r="AP18" s="24"/>
      <c r="AQ18" s="24"/>
      <c r="AR18" s="24"/>
      <c r="AS18" s="24"/>
      <c r="AT18" s="24"/>
      <c r="AU18" s="24"/>
      <c r="AV18" s="24"/>
      <c r="AW18" s="24"/>
      <c r="AX18" s="24"/>
      <c r="AY18" s="24"/>
      <c r="AZ18" s="24"/>
      <c r="BA18" s="24"/>
      <c r="BB18" s="24"/>
      <c r="BC18" s="24"/>
      <c r="BD18" s="24"/>
      <c r="BE18" s="24"/>
      <c r="BF18" s="24"/>
      <c r="BG18" s="24"/>
      <c r="BH18" s="24"/>
      <c r="BI18" s="24"/>
      <c r="BJ18" s="24"/>
      <c r="BK18" s="24"/>
      <c r="BL18" s="24"/>
      <c r="BM18" s="24"/>
      <c r="BN18" s="24"/>
      <c r="BO18" s="24"/>
      <c r="BP18" s="24"/>
      <c r="BQ18" s="24"/>
      <c r="BR18" s="24"/>
      <c r="BS18" s="24"/>
      <c r="BT18" s="24"/>
      <c r="BU18" s="24"/>
      <c r="BV18" s="24"/>
      <c r="BW18" s="24"/>
      <c r="BX18" s="24"/>
      <c r="BY18" s="24"/>
      <c r="BZ18" s="24"/>
      <c r="CA18" s="24"/>
      <c r="CB18" s="24"/>
      <c r="CC18" s="24"/>
    </row>
    <row r="19" spans="1:81" ht="19.75">
      <c r="A19" s="21"/>
      <c r="B19" s="21"/>
      <c r="C19" s="44"/>
      <c r="D19" s="44"/>
      <c r="E19" s="44"/>
      <c r="F19" s="24"/>
      <c r="G19" s="25"/>
      <c r="H19" s="35"/>
      <c r="I19" s="35"/>
      <c r="J19" s="35"/>
      <c r="K19" s="35"/>
      <c r="L19" s="35"/>
      <c r="M19" s="25"/>
      <c r="N19" s="25"/>
      <c r="O19" s="25"/>
      <c r="P19" s="35"/>
      <c r="Q19" s="35"/>
      <c r="R19" s="35"/>
      <c r="S19" s="35"/>
      <c r="T19" s="25"/>
      <c r="U19" s="24"/>
      <c r="V19" s="25"/>
      <c r="W19" s="38"/>
      <c r="X19" s="38"/>
      <c r="Y19" s="38"/>
      <c r="Z19" s="38"/>
      <c r="AA19" s="38"/>
      <c r="AB19" s="25"/>
      <c r="AC19" s="25"/>
      <c r="AD19" s="24"/>
      <c r="AE19" s="24"/>
      <c r="AF19" s="24"/>
      <c r="AG19" s="24"/>
      <c r="AH19" s="24"/>
      <c r="AI19" s="24"/>
      <c r="AJ19" s="24"/>
      <c r="AK19" s="24"/>
      <c r="AL19" s="24"/>
      <c r="AM19" s="24"/>
      <c r="AN19" s="24"/>
      <c r="AO19" s="24"/>
      <c r="AP19" s="24"/>
      <c r="AQ19" s="24"/>
      <c r="AR19" s="24"/>
      <c r="AS19" s="24"/>
      <c r="AT19" s="24"/>
      <c r="AU19" s="24"/>
      <c r="AV19" s="24"/>
      <c r="AW19" s="24"/>
      <c r="AX19" s="24"/>
      <c r="AY19" s="24"/>
      <c r="AZ19" s="24"/>
      <c r="BA19" s="24"/>
      <c r="BB19" s="24"/>
      <c r="BC19" s="24"/>
      <c r="BD19" s="24"/>
      <c r="BE19" s="24"/>
      <c r="BF19" s="24"/>
      <c r="BG19" s="24"/>
      <c r="BH19" s="24"/>
      <c r="BI19" s="24"/>
      <c r="BJ19" s="24"/>
      <c r="BK19" s="24"/>
      <c r="BL19" s="24"/>
      <c r="BM19" s="24"/>
      <c r="BN19" s="24"/>
      <c r="BO19" s="24"/>
      <c r="BP19" s="24"/>
      <c r="BQ19" s="24"/>
      <c r="BR19" s="24"/>
      <c r="BS19" s="24"/>
      <c r="BT19" s="24"/>
      <c r="BU19" s="24"/>
      <c r="BV19" s="24"/>
      <c r="BW19" s="24"/>
      <c r="BX19" s="24"/>
      <c r="BY19" s="24"/>
      <c r="BZ19" s="24"/>
      <c r="CA19" s="24"/>
      <c r="CB19" s="24"/>
      <c r="CC19" s="24"/>
    </row>
    <row r="20" spans="1:81" ht="19.75">
      <c r="A20" s="21"/>
      <c r="B20" s="21"/>
      <c r="C20" s="44"/>
      <c r="D20" s="44"/>
      <c r="E20" s="44"/>
      <c r="F20" s="24"/>
      <c r="G20" s="25"/>
      <c r="H20" s="35"/>
      <c r="I20" s="35"/>
      <c r="J20" s="35"/>
      <c r="K20" s="35"/>
      <c r="L20" s="35"/>
      <c r="M20" s="25"/>
      <c r="N20" s="25"/>
      <c r="O20" s="25"/>
      <c r="P20" s="35"/>
      <c r="Q20" s="35"/>
      <c r="R20" s="35"/>
      <c r="S20" s="35"/>
      <c r="T20" s="25"/>
      <c r="U20" s="24"/>
      <c r="V20" s="25"/>
      <c r="W20" s="117"/>
      <c r="X20" s="117"/>
      <c r="Y20" s="117"/>
      <c r="Z20" s="38"/>
      <c r="AA20" s="38"/>
      <c r="AB20" s="25"/>
      <c r="AC20" s="25"/>
      <c r="AD20" s="24"/>
      <c r="AE20" s="24"/>
      <c r="AF20" s="24"/>
      <c r="AG20" s="24"/>
      <c r="AH20" s="24"/>
      <c r="AI20" s="24"/>
      <c r="AJ20" s="24"/>
      <c r="AK20" s="24"/>
      <c r="AL20" s="24"/>
      <c r="AM20" s="24"/>
      <c r="AN20" s="24"/>
      <c r="AO20" s="24"/>
      <c r="AP20" s="24"/>
      <c r="AQ20" s="24"/>
      <c r="AR20" s="24"/>
      <c r="AS20" s="24"/>
      <c r="AT20" s="24"/>
      <c r="AU20" s="24"/>
      <c r="AV20" s="24"/>
      <c r="AW20" s="24"/>
      <c r="AX20" s="24"/>
      <c r="AY20" s="24"/>
      <c r="AZ20" s="24"/>
      <c r="BA20" s="24"/>
      <c r="BB20" s="24"/>
      <c r="BC20" s="24"/>
      <c r="BD20" s="24"/>
      <c r="BE20" s="24"/>
      <c r="BF20" s="24"/>
      <c r="BG20" s="24"/>
      <c r="BH20" s="24"/>
      <c r="BI20" s="24"/>
      <c r="BJ20" s="24"/>
      <c r="BK20" s="24"/>
      <c r="BL20" s="24"/>
      <c r="BM20" s="24"/>
      <c r="BN20" s="24"/>
      <c r="BO20" s="24"/>
      <c r="BP20" s="24"/>
      <c r="BQ20" s="24"/>
      <c r="BR20" s="24"/>
      <c r="BS20" s="24"/>
      <c r="BT20" s="24"/>
      <c r="BU20" s="24"/>
      <c r="BV20" s="24"/>
      <c r="BW20" s="24"/>
      <c r="BX20" s="24"/>
      <c r="BY20" s="24"/>
      <c r="BZ20" s="24"/>
      <c r="CA20" s="24"/>
      <c r="CB20" s="24"/>
      <c r="CC20" s="24"/>
    </row>
    <row r="21" spans="1:81" ht="19.75">
      <c r="A21" s="21"/>
      <c r="B21" s="21"/>
      <c r="C21" s="122" t="s">
        <v>24</v>
      </c>
      <c r="D21" s="122"/>
      <c r="E21" s="122"/>
      <c r="F21" s="24"/>
      <c r="G21" s="25"/>
      <c r="H21" s="25"/>
      <c r="I21" s="25"/>
      <c r="J21" s="25"/>
      <c r="K21" s="25"/>
      <c r="L21" s="25"/>
      <c r="M21" s="25"/>
      <c r="N21" s="25"/>
      <c r="O21" s="25"/>
      <c r="P21" s="35"/>
      <c r="Q21" s="35"/>
      <c r="R21" s="35"/>
      <c r="S21" s="35"/>
      <c r="T21" s="25"/>
      <c r="U21" s="24"/>
      <c r="V21" s="25"/>
      <c r="W21" s="117"/>
      <c r="X21" s="117"/>
      <c r="Y21" s="117"/>
      <c r="Z21" s="38"/>
      <c r="AA21" s="38"/>
      <c r="AB21" s="25"/>
      <c r="AC21" s="25"/>
      <c r="AD21" s="24"/>
      <c r="AE21" s="24"/>
      <c r="AF21" s="24"/>
      <c r="AG21" s="24"/>
      <c r="AH21" s="24"/>
      <c r="AI21" s="24"/>
      <c r="AJ21" s="24"/>
      <c r="AK21" s="24"/>
      <c r="AL21" s="24"/>
      <c r="AM21" s="24"/>
      <c r="AN21" s="24"/>
      <c r="AO21" s="24"/>
      <c r="AP21" s="24"/>
      <c r="AQ21" s="24"/>
      <c r="AR21" s="24"/>
      <c r="AS21" s="24"/>
      <c r="AT21" s="24"/>
      <c r="AU21" s="24"/>
      <c r="AV21" s="24"/>
      <c r="AW21" s="24"/>
      <c r="AX21" s="24"/>
      <c r="AY21" s="24"/>
      <c r="AZ21" s="24"/>
      <c r="BA21" s="24"/>
      <c r="BB21" s="24"/>
      <c r="BC21" s="24"/>
      <c r="BD21" s="24"/>
      <c r="BE21" s="24"/>
      <c r="BF21" s="24"/>
      <c r="BG21" s="24"/>
      <c r="BH21" s="24"/>
      <c r="BI21" s="24"/>
      <c r="BJ21" s="24"/>
      <c r="BK21" s="24"/>
      <c r="BL21" s="24"/>
      <c r="BM21" s="24"/>
      <c r="BN21" s="24"/>
      <c r="BO21" s="24"/>
      <c r="BP21" s="24"/>
      <c r="BQ21" s="24"/>
      <c r="BR21" s="24"/>
      <c r="BS21" s="24"/>
      <c r="BT21" s="24"/>
      <c r="BU21" s="24"/>
      <c r="BV21" s="24"/>
      <c r="BW21" s="24"/>
      <c r="BX21" s="24"/>
      <c r="BY21" s="24"/>
      <c r="BZ21" s="24"/>
      <c r="CA21" s="24"/>
      <c r="CB21" s="24"/>
      <c r="CC21" s="24"/>
    </row>
    <row r="22" spans="1:81" ht="19.75">
      <c r="A22" s="21"/>
      <c r="B22" s="21"/>
      <c r="C22" s="44"/>
      <c r="D22" s="44"/>
      <c r="E22" s="44"/>
      <c r="F22" s="24"/>
      <c r="G22" s="25"/>
      <c r="H22" s="25"/>
      <c r="I22" s="25"/>
      <c r="J22" s="25"/>
      <c r="K22" s="25"/>
      <c r="L22" s="25"/>
      <c r="M22" s="25"/>
      <c r="N22" s="25"/>
      <c r="O22" s="25"/>
      <c r="P22" s="35"/>
      <c r="Q22" s="35"/>
      <c r="R22" s="35"/>
      <c r="S22" s="35"/>
      <c r="T22" s="25"/>
      <c r="U22" s="24"/>
      <c r="V22" s="25"/>
      <c r="W22" s="38"/>
      <c r="X22" s="38"/>
      <c r="Y22" s="38"/>
      <c r="Z22" s="38"/>
      <c r="AA22" s="38"/>
      <c r="AB22" s="38"/>
      <c r="AC22" s="25"/>
      <c r="AD22" s="24"/>
      <c r="AE22" s="24"/>
      <c r="AF22" s="24"/>
      <c r="AG22" s="24"/>
      <c r="AH22" s="24"/>
      <c r="AI22" s="24"/>
      <c r="AJ22" s="24"/>
      <c r="AK22" s="24"/>
      <c r="AL22" s="24"/>
      <c r="AM22" s="24"/>
      <c r="AN22" s="24"/>
      <c r="AO22" s="24"/>
      <c r="AP22" s="24"/>
      <c r="AQ22" s="24"/>
      <c r="AR22" s="24"/>
      <c r="AS22" s="24"/>
      <c r="AT22" s="24"/>
      <c r="AU22" s="24"/>
      <c r="AV22" s="24"/>
      <c r="AW22" s="24"/>
      <c r="AX22" s="24"/>
      <c r="AY22" s="24"/>
      <c r="AZ22" s="24"/>
      <c r="BA22" s="24"/>
      <c r="BB22" s="24"/>
      <c r="BC22" s="24"/>
      <c r="BD22" s="24"/>
      <c r="BE22" s="24"/>
      <c r="BF22" s="24"/>
      <c r="BG22" s="24"/>
      <c r="BH22" s="24"/>
      <c r="BI22" s="24"/>
      <c r="BJ22" s="24"/>
      <c r="BK22" s="24"/>
      <c r="BL22" s="24"/>
      <c r="BM22" s="24"/>
      <c r="BN22" s="24"/>
      <c r="BO22" s="24"/>
      <c r="BP22" s="24"/>
      <c r="BQ22" s="24"/>
      <c r="BR22" s="24"/>
      <c r="BS22" s="24"/>
      <c r="BT22" s="24"/>
      <c r="BU22" s="24"/>
      <c r="BV22" s="24"/>
      <c r="BW22" s="24"/>
      <c r="BX22" s="24"/>
      <c r="BY22" s="24"/>
      <c r="BZ22" s="24"/>
      <c r="CA22" s="24"/>
      <c r="CB22" s="24"/>
      <c r="CC22" s="24"/>
    </row>
    <row r="23" spans="1:81" ht="19.75">
      <c r="A23" s="21"/>
      <c r="B23" s="21"/>
      <c r="C23" s="44"/>
      <c r="D23" s="44"/>
      <c r="E23" s="44"/>
      <c r="F23" s="24"/>
      <c r="G23" s="25"/>
      <c r="H23" s="25"/>
      <c r="I23" s="25"/>
      <c r="J23" s="25"/>
      <c r="K23" s="25"/>
      <c r="L23" s="25"/>
      <c r="M23" s="25"/>
      <c r="N23" s="25"/>
      <c r="O23" s="25"/>
      <c r="P23" s="35"/>
      <c r="Q23" s="35"/>
      <c r="R23" s="35"/>
      <c r="S23" s="35"/>
      <c r="T23" s="25"/>
      <c r="U23" s="24"/>
      <c r="V23" s="25"/>
      <c r="W23" s="38"/>
      <c r="X23" s="38"/>
      <c r="Y23" s="38"/>
      <c r="Z23" s="38"/>
      <c r="AA23" s="38"/>
      <c r="AB23" s="38"/>
      <c r="AC23" s="25"/>
      <c r="AD23" s="24"/>
      <c r="AE23" s="24"/>
      <c r="AF23" s="24"/>
      <c r="AG23" s="24"/>
      <c r="AH23" s="24"/>
      <c r="AI23" s="24"/>
      <c r="AJ23" s="24"/>
      <c r="AK23" s="24"/>
      <c r="AL23" s="24"/>
      <c r="AM23" s="24"/>
      <c r="AN23" s="24"/>
      <c r="AO23" s="24"/>
      <c r="AP23" s="24"/>
      <c r="AQ23" s="24"/>
      <c r="AR23" s="24"/>
      <c r="AS23" s="24"/>
      <c r="AT23" s="24"/>
      <c r="AU23" s="24"/>
      <c r="AV23" s="24"/>
      <c r="AW23" s="24"/>
      <c r="AX23" s="24"/>
      <c r="AY23" s="24"/>
      <c r="AZ23" s="24"/>
      <c r="BA23" s="24"/>
      <c r="BB23" s="24"/>
      <c r="BC23" s="24"/>
      <c r="BD23" s="24"/>
      <c r="BE23" s="24"/>
      <c r="BF23" s="24"/>
      <c r="BG23" s="24"/>
      <c r="BH23" s="24"/>
      <c r="BI23" s="24"/>
      <c r="BJ23" s="24"/>
      <c r="BK23" s="24"/>
      <c r="BL23" s="24"/>
      <c r="BM23" s="24"/>
      <c r="BN23" s="24"/>
      <c r="BO23" s="24"/>
      <c r="BP23" s="24"/>
      <c r="BQ23" s="24"/>
      <c r="BR23" s="24"/>
      <c r="BS23" s="24"/>
      <c r="BT23" s="24"/>
      <c r="BU23" s="24"/>
      <c r="BV23" s="24"/>
      <c r="BW23" s="24"/>
      <c r="BX23" s="24"/>
      <c r="BY23" s="24"/>
      <c r="BZ23" s="24"/>
      <c r="CA23" s="24"/>
      <c r="CB23" s="24"/>
      <c r="CC23" s="24"/>
    </row>
    <row r="24" spans="1:81" ht="19.75">
      <c r="A24" s="21"/>
      <c r="B24" s="21"/>
      <c r="C24" s="122" t="s">
        <v>25</v>
      </c>
      <c r="D24" s="122"/>
      <c r="E24" s="122"/>
      <c r="F24" s="24"/>
      <c r="G24" s="25"/>
      <c r="H24" s="25"/>
      <c r="I24" s="25"/>
      <c r="J24" s="25"/>
      <c r="K24" s="25"/>
      <c r="L24" s="25"/>
      <c r="M24" s="25"/>
      <c r="N24" s="25"/>
      <c r="O24" s="25"/>
      <c r="P24" s="35"/>
      <c r="Q24" s="35"/>
      <c r="R24" s="35"/>
      <c r="S24" s="35"/>
      <c r="T24" s="25"/>
      <c r="U24" s="24"/>
      <c r="V24" s="25"/>
      <c r="W24" s="38"/>
      <c r="X24" s="38"/>
      <c r="Y24" s="38"/>
      <c r="Z24" s="38"/>
      <c r="AA24" s="38"/>
      <c r="AB24" s="38"/>
      <c r="AC24" s="25"/>
      <c r="AD24" s="24"/>
      <c r="AE24" s="24"/>
      <c r="AF24" s="24"/>
      <c r="AG24" s="24"/>
      <c r="AH24" s="24"/>
      <c r="AI24" s="24"/>
      <c r="AJ24" s="24"/>
      <c r="AK24" s="24"/>
      <c r="AL24" s="24"/>
      <c r="AM24" s="24"/>
      <c r="AN24" s="24"/>
      <c r="AO24" s="24"/>
      <c r="AP24" s="24"/>
      <c r="AQ24" s="24"/>
      <c r="AR24" s="24"/>
      <c r="AS24" s="24"/>
      <c r="AT24" s="24"/>
      <c r="AU24" s="24"/>
      <c r="AV24" s="24"/>
      <c r="AW24" s="24"/>
      <c r="AX24" s="24"/>
      <c r="AY24" s="24"/>
      <c r="AZ24" s="24"/>
      <c r="BA24" s="24"/>
      <c r="BB24" s="24"/>
      <c r="BC24" s="24"/>
      <c r="BD24" s="24"/>
      <c r="BE24" s="24"/>
      <c r="BF24" s="24"/>
      <c r="BG24" s="24"/>
      <c r="BH24" s="24"/>
      <c r="BI24" s="24"/>
      <c r="BJ24" s="24"/>
      <c r="BK24" s="24"/>
      <c r="BL24" s="24"/>
      <c r="BM24" s="24"/>
      <c r="BN24" s="24"/>
      <c r="BO24" s="24"/>
      <c r="BP24" s="24"/>
      <c r="BQ24" s="24"/>
      <c r="BR24" s="24"/>
      <c r="BS24" s="24"/>
      <c r="BT24" s="24"/>
      <c r="BU24" s="24"/>
      <c r="BV24" s="24"/>
      <c r="BW24" s="24"/>
      <c r="BX24" s="24"/>
      <c r="BY24" s="24"/>
      <c r="BZ24" s="24"/>
      <c r="CA24" s="24"/>
      <c r="CB24" s="24"/>
      <c r="CC24" s="24"/>
    </row>
    <row r="25" spans="1:81" ht="19.75">
      <c r="A25" s="21"/>
      <c r="B25" s="21"/>
      <c r="C25" s="44"/>
      <c r="D25" s="44"/>
      <c r="E25" s="44"/>
      <c r="F25" s="24"/>
      <c r="G25" s="25"/>
      <c r="H25" s="25"/>
      <c r="I25" s="25"/>
      <c r="J25" s="25"/>
      <c r="K25" s="25"/>
      <c r="L25" s="25"/>
      <c r="M25" s="25"/>
      <c r="N25" s="25"/>
      <c r="O25" s="25"/>
      <c r="P25" s="35"/>
      <c r="Q25" s="35"/>
      <c r="R25" s="35"/>
      <c r="S25" s="35"/>
      <c r="T25" s="25"/>
      <c r="U25" s="24"/>
      <c r="V25" s="25"/>
      <c r="W25" s="38"/>
      <c r="X25" s="38"/>
      <c r="Y25" s="38"/>
      <c r="Z25" s="38"/>
      <c r="AA25" s="38"/>
      <c r="AB25" s="38"/>
      <c r="AC25" s="25"/>
      <c r="AD25" s="24"/>
      <c r="AE25" s="24"/>
      <c r="AF25" s="24"/>
      <c r="AG25" s="24"/>
      <c r="AH25" s="24"/>
      <c r="AI25" s="24"/>
      <c r="AJ25" s="24"/>
      <c r="AK25" s="24"/>
      <c r="AL25" s="24"/>
      <c r="AM25" s="24"/>
      <c r="AN25" s="24"/>
      <c r="AO25" s="24"/>
      <c r="AP25" s="24"/>
      <c r="AQ25" s="24"/>
      <c r="AR25" s="24"/>
      <c r="AS25" s="24"/>
      <c r="AT25" s="24"/>
      <c r="AU25" s="24"/>
      <c r="AV25" s="24"/>
      <c r="AW25" s="24"/>
      <c r="AX25" s="24"/>
      <c r="AY25" s="24"/>
      <c r="AZ25" s="24"/>
      <c r="BA25" s="24"/>
      <c r="BB25" s="24"/>
      <c r="BC25" s="24"/>
      <c r="BD25" s="24"/>
      <c r="BE25" s="24"/>
      <c r="BF25" s="24"/>
      <c r="BG25" s="24"/>
      <c r="BH25" s="24"/>
      <c r="BI25" s="24"/>
      <c r="BJ25" s="24"/>
      <c r="BK25" s="24"/>
      <c r="BL25" s="24"/>
      <c r="BM25" s="24"/>
      <c r="BN25" s="24"/>
      <c r="BO25" s="24"/>
      <c r="BP25" s="24"/>
      <c r="BQ25" s="24"/>
      <c r="BR25" s="24"/>
      <c r="BS25" s="24"/>
      <c r="BT25" s="24"/>
      <c r="BU25" s="24"/>
      <c r="BV25" s="24"/>
      <c r="BW25" s="24"/>
      <c r="BX25" s="24"/>
      <c r="BY25" s="24"/>
      <c r="BZ25" s="24"/>
      <c r="CA25" s="24"/>
      <c r="CB25" s="24"/>
      <c r="CC25" s="24"/>
    </row>
    <row r="26" spans="1:81" ht="19.75">
      <c r="A26" s="21"/>
      <c r="B26" s="21"/>
      <c r="C26" s="44"/>
      <c r="D26" s="44"/>
      <c r="E26" s="44"/>
      <c r="F26" s="24"/>
      <c r="G26" s="25"/>
      <c r="H26" s="25"/>
      <c r="I26" s="25"/>
      <c r="J26" s="25"/>
      <c r="K26" s="25"/>
      <c r="L26" s="25"/>
      <c r="M26" s="25"/>
      <c r="N26" s="25"/>
      <c r="O26" s="25"/>
      <c r="P26" s="35"/>
      <c r="Q26" s="35"/>
      <c r="R26" s="35"/>
      <c r="S26" s="35"/>
      <c r="T26" s="25"/>
      <c r="U26" s="24"/>
      <c r="V26" s="25"/>
      <c r="W26" s="38"/>
      <c r="X26" s="38"/>
      <c r="Y26" s="38"/>
      <c r="Z26" s="38"/>
      <c r="AA26" s="38"/>
      <c r="AB26" s="38"/>
      <c r="AC26" s="25"/>
      <c r="AD26" s="24"/>
      <c r="AE26" s="24"/>
      <c r="AF26" s="24"/>
      <c r="AG26" s="24"/>
      <c r="AH26" s="24"/>
      <c r="AI26" s="24"/>
      <c r="AJ26" s="24"/>
      <c r="AK26" s="24"/>
      <c r="AL26" s="24"/>
      <c r="AM26" s="24"/>
      <c r="AN26" s="24"/>
      <c r="AO26" s="24"/>
      <c r="AP26" s="24"/>
      <c r="AQ26" s="24"/>
      <c r="AR26" s="24"/>
      <c r="AS26" s="24"/>
      <c r="AT26" s="24"/>
      <c r="AU26" s="24"/>
      <c r="AV26" s="24"/>
      <c r="AW26" s="24"/>
      <c r="AX26" s="24"/>
      <c r="AY26" s="24"/>
      <c r="AZ26" s="24"/>
      <c r="BA26" s="24"/>
      <c r="BB26" s="24"/>
      <c r="BC26" s="24"/>
      <c r="BD26" s="24"/>
      <c r="BE26" s="24"/>
      <c r="BF26" s="24"/>
      <c r="BG26" s="24"/>
      <c r="BH26" s="24"/>
      <c r="BI26" s="24"/>
      <c r="BJ26" s="24"/>
      <c r="BK26" s="24"/>
      <c r="BL26" s="24"/>
      <c r="BM26" s="24"/>
      <c r="BN26" s="24"/>
      <c r="BO26" s="24"/>
      <c r="BP26" s="24"/>
      <c r="BQ26" s="24"/>
      <c r="BR26" s="24"/>
      <c r="BS26" s="24"/>
      <c r="BT26" s="24"/>
      <c r="BU26" s="24"/>
      <c r="BV26" s="24"/>
      <c r="BW26" s="24"/>
      <c r="BX26" s="24"/>
      <c r="BY26" s="24"/>
      <c r="BZ26" s="24"/>
      <c r="CA26" s="24"/>
      <c r="CB26" s="24"/>
      <c r="CC26" s="24"/>
    </row>
    <row r="27" spans="1:81" ht="19.75">
      <c r="A27" s="21"/>
      <c r="B27" s="21"/>
      <c r="C27" s="122" t="s">
        <v>26</v>
      </c>
      <c r="D27" s="122"/>
      <c r="E27" s="122"/>
      <c r="F27" s="24"/>
      <c r="G27" s="25"/>
      <c r="H27" s="25"/>
      <c r="I27" s="25"/>
      <c r="J27" s="25"/>
      <c r="K27" s="25"/>
      <c r="L27" s="25"/>
      <c r="M27" s="25"/>
      <c r="N27" s="25"/>
      <c r="O27" s="25"/>
      <c r="P27" s="35"/>
      <c r="Q27" s="35"/>
      <c r="R27" s="35"/>
      <c r="S27" s="35"/>
      <c r="T27" s="25"/>
      <c r="U27" s="24"/>
      <c r="V27" s="25"/>
      <c r="W27" s="25"/>
      <c r="X27" s="25"/>
      <c r="Y27" s="25"/>
      <c r="Z27" s="25"/>
      <c r="AA27" s="25"/>
      <c r="AB27" s="25"/>
      <c r="AC27" s="25"/>
      <c r="AD27" s="24"/>
      <c r="AE27" s="24"/>
      <c r="AF27" s="24"/>
      <c r="AG27" s="24"/>
      <c r="AH27" s="24"/>
      <c r="AI27" s="24"/>
      <c r="AJ27" s="24"/>
      <c r="AK27" s="24"/>
      <c r="AL27" s="24"/>
      <c r="AM27" s="24"/>
      <c r="AN27" s="24"/>
      <c r="AO27" s="24"/>
      <c r="AP27" s="24"/>
      <c r="AQ27" s="24"/>
      <c r="AR27" s="24"/>
      <c r="AS27" s="24"/>
      <c r="AT27" s="24"/>
      <c r="AU27" s="24"/>
      <c r="AV27" s="24"/>
      <c r="AW27" s="24"/>
      <c r="AX27" s="24"/>
      <c r="AY27" s="24"/>
      <c r="AZ27" s="24"/>
      <c r="BA27" s="24"/>
      <c r="BB27" s="24"/>
      <c r="BC27" s="24"/>
      <c r="BD27" s="24"/>
      <c r="BE27" s="24"/>
      <c r="BF27" s="24"/>
      <c r="BG27" s="24"/>
      <c r="BH27" s="24"/>
      <c r="BI27" s="24"/>
      <c r="BJ27" s="24"/>
      <c r="BK27" s="24"/>
      <c r="BL27" s="24"/>
      <c r="BM27" s="24"/>
      <c r="BN27" s="24"/>
      <c r="BO27" s="24"/>
      <c r="BP27" s="24"/>
      <c r="BQ27" s="24"/>
      <c r="BR27" s="24"/>
      <c r="BS27" s="24"/>
      <c r="BT27" s="24"/>
      <c r="BU27" s="24"/>
      <c r="BV27" s="24"/>
      <c r="BW27" s="24"/>
      <c r="BX27" s="24"/>
      <c r="BY27" s="24"/>
      <c r="BZ27" s="24"/>
      <c r="CA27" s="24"/>
      <c r="CB27" s="24"/>
      <c r="CC27" s="24"/>
    </row>
    <row r="28" spans="1:81">
      <c r="A28" s="21"/>
      <c r="B28" s="21"/>
      <c r="C28" s="21"/>
      <c r="D28" s="21"/>
      <c r="E28" s="45"/>
      <c r="F28" s="24"/>
      <c r="G28" s="25"/>
      <c r="H28" s="58"/>
      <c r="I28" s="58"/>
      <c r="J28" s="58"/>
      <c r="K28" s="58"/>
      <c r="L28" s="58"/>
      <c r="M28" s="58"/>
      <c r="N28" s="58"/>
      <c r="O28" s="25"/>
      <c r="P28" s="35"/>
      <c r="Q28" s="35"/>
      <c r="R28" s="35"/>
      <c r="S28" s="35"/>
      <c r="T28" s="25"/>
      <c r="U28" s="24"/>
      <c r="V28" s="25"/>
      <c r="W28" s="25"/>
      <c r="X28" s="25"/>
      <c r="Y28" s="25"/>
      <c r="Z28" s="25"/>
      <c r="AA28" s="25"/>
      <c r="AB28" s="25"/>
      <c r="AC28" s="25"/>
      <c r="AD28" s="24"/>
      <c r="AE28" s="24"/>
      <c r="AF28" s="24"/>
      <c r="AG28" s="24"/>
      <c r="AH28" s="24"/>
      <c r="AI28" s="24"/>
      <c r="AJ28" s="24"/>
      <c r="AK28" s="24"/>
      <c r="AL28" s="24"/>
      <c r="AM28" s="24"/>
      <c r="AN28" s="24"/>
      <c r="AO28" s="24"/>
      <c r="AP28" s="24"/>
      <c r="AQ28" s="24"/>
      <c r="AR28" s="24"/>
      <c r="AS28" s="24"/>
      <c r="AT28" s="24"/>
      <c r="AU28" s="24"/>
      <c r="AV28" s="24"/>
      <c r="AW28" s="24"/>
      <c r="AX28" s="24"/>
      <c r="AY28" s="24"/>
      <c r="AZ28" s="24"/>
      <c r="BA28" s="24"/>
      <c r="BB28" s="24"/>
      <c r="BC28" s="24"/>
      <c r="BD28" s="24"/>
      <c r="BE28" s="24"/>
      <c r="BF28" s="24"/>
      <c r="BG28" s="24"/>
      <c r="BH28" s="24"/>
      <c r="BI28" s="24"/>
      <c r="BJ28" s="24"/>
      <c r="BK28" s="24"/>
      <c r="BL28" s="24"/>
      <c r="BM28" s="24"/>
      <c r="BN28" s="24"/>
      <c r="BO28" s="24"/>
      <c r="BP28" s="24"/>
      <c r="BQ28" s="24"/>
      <c r="BR28" s="24"/>
      <c r="BS28" s="24"/>
      <c r="BT28" s="24"/>
      <c r="BU28" s="24"/>
      <c r="BV28" s="24"/>
      <c r="BW28" s="24"/>
      <c r="BX28" s="24"/>
      <c r="BY28" s="24"/>
      <c r="BZ28" s="24"/>
      <c r="CA28" s="24"/>
      <c r="CB28" s="24"/>
      <c r="CC28" s="24"/>
    </row>
    <row r="29" spans="1:81">
      <c r="A29" s="19"/>
      <c r="B29" s="21"/>
      <c r="C29" s="21"/>
      <c r="D29" s="21"/>
      <c r="E29" s="21"/>
      <c r="F29" s="24"/>
      <c r="G29" s="25"/>
      <c r="H29" s="25"/>
      <c r="I29" s="25"/>
      <c r="J29" s="25"/>
      <c r="K29" s="25"/>
      <c r="L29" s="25"/>
      <c r="M29" s="25"/>
      <c r="N29" s="25"/>
      <c r="O29" s="25"/>
      <c r="P29" s="35"/>
      <c r="Q29" s="35"/>
      <c r="R29" s="35"/>
      <c r="S29" s="35"/>
      <c r="T29" s="25"/>
      <c r="U29" s="24"/>
      <c r="V29" s="25"/>
      <c r="W29" s="25"/>
      <c r="X29" s="25"/>
      <c r="Y29" s="25"/>
      <c r="Z29" s="25"/>
      <c r="AA29" s="25"/>
      <c r="AB29" s="25"/>
      <c r="AC29" s="25"/>
      <c r="AD29" s="24"/>
      <c r="AE29" s="24"/>
      <c r="AF29" s="24"/>
      <c r="AG29" s="24"/>
      <c r="AH29" s="24"/>
      <c r="AI29" s="24"/>
      <c r="AJ29" s="24"/>
      <c r="AK29" s="24"/>
      <c r="AL29" s="24"/>
      <c r="AM29" s="24"/>
      <c r="AN29" s="24"/>
      <c r="AO29" s="24"/>
      <c r="AP29" s="24"/>
      <c r="AQ29" s="24"/>
      <c r="AR29" s="24"/>
      <c r="AS29" s="24"/>
      <c r="AT29" s="24"/>
      <c r="AU29" s="24"/>
      <c r="AV29" s="24"/>
      <c r="AW29" s="24"/>
      <c r="AX29" s="24"/>
      <c r="AY29" s="24"/>
      <c r="AZ29" s="24"/>
      <c r="BA29" s="24"/>
      <c r="BB29" s="24"/>
      <c r="BC29" s="24"/>
      <c r="BD29" s="24"/>
      <c r="BE29" s="24"/>
      <c r="BF29" s="24"/>
      <c r="BG29" s="24"/>
      <c r="BH29" s="24"/>
      <c r="BI29" s="24"/>
      <c r="BJ29" s="24"/>
      <c r="BK29" s="24"/>
      <c r="BL29" s="24"/>
      <c r="BM29" s="24"/>
      <c r="BN29" s="24"/>
      <c r="BO29" s="24"/>
      <c r="BP29" s="24"/>
      <c r="BQ29" s="24"/>
      <c r="BR29" s="24"/>
      <c r="BS29" s="24"/>
      <c r="BT29" s="24"/>
      <c r="BU29" s="24"/>
      <c r="BV29" s="24"/>
      <c r="BW29" s="24"/>
      <c r="BX29" s="24"/>
      <c r="BY29" s="24"/>
      <c r="BZ29" s="24"/>
      <c r="CA29" s="24"/>
      <c r="CB29" s="24"/>
      <c r="CC29" s="24"/>
    </row>
    <row r="30" spans="1:81">
      <c r="A30" s="19"/>
      <c r="B30" s="21"/>
      <c r="C30" s="21"/>
      <c r="D30" s="21"/>
      <c r="E30" s="21"/>
      <c r="F30" s="24"/>
      <c r="G30" s="25"/>
      <c r="H30" s="25"/>
      <c r="I30" s="25"/>
      <c r="J30" s="25"/>
      <c r="K30" s="25"/>
      <c r="L30" s="25"/>
      <c r="M30" s="25"/>
      <c r="N30" s="25"/>
      <c r="O30" s="25"/>
      <c r="P30" s="35"/>
      <c r="Q30" s="35"/>
      <c r="R30" s="35"/>
      <c r="S30" s="35"/>
      <c r="T30" s="25"/>
      <c r="U30" s="24"/>
      <c r="V30" s="25"/>
      <c r="W30" s="25"/>
      <c r="X30" s="25"/>
      <c r="Y30" s="25"/>
      <c r="Z30" s="25"/>
      <c r="AA30" s="25"/>
      <c r="AB30" s="25"/>
      <c r="AC30" s="25"/>
      <c r="AD30" s="24"/>
      <c r="AE30" s="24"/>
      <c r="AF30" s="24"/>
      <c r="AG30" s="24"/>
      <c r="AH30" s="24"/>
      <c r="AI30" s="24"/>
      <c r="AJ30" s="24"/>
      <c r="AK30" s="24"/>
      <c r="AL30" s="24"/>
      <c r="AM30" s="24"/>
      <c r="AN30" s="24"/>
      <c r="AO30" s="24"/>
      <c r="AP30" s="24"/>
      <c r="AQ30" s="24"/>
      <c r="AR30" s="24"/>
      <c r="AS30" s="24"/>
      <c r="AT30" s="24"/>
      <c r="AU30" s="24"/>
      <c r="AV30" s="24"/>
      <c r="AW30" s="24"/>
      <c r="AX30" s="24"/>
      <c r="AY30" s="24"/>
      <c r="AZ30" s="24"/>
      <c r="BA30" s="24"/>
      <c r="BB30" s="24"/>
      <c r="BC30" s="24"/>
      <c r="BD30" s="24"/>
      <c r="BE30" s="24"/>
      <c r="BF30" s="24"/>
      <c r="BG30" s="24"/>
      <c r="BH30" s="24"/>
      <c r="BI30" s="24"/>
      <c r="BJ30" s="24"/>
      <c r="BK30" s="24"/>
      <c r="BL30" s="24"/>
      <c r="BM30" s="24"/>
      <c r="BN30" s="24"/>
      <c r="BO30" s="24"/>
      <c r="BP30" s="24"/>
      <c r="BQ30" s="24"/>
      <c r="BR30" s="24"/>
      <c r="BS30" s="24"/>
      <c r="BT30" s="24"/>
      <c r="BU30" s="24"/>
      <c r="BV30" s="24"/>
      <c r="BW30" s="24"/>
      <c r="BX30" s="24"/>
      <c r="BY30" s="24"/>
      <c r="BZ30" s="24"/>
      <c r="CA30" s="24"/>
      <c r="CB30" s="24"/>
      <c r="CC30" s="24"/>
    </row>
    <row r="31" spans="1:81">
      <c r="A31" s="19"/>
      <c r="B31" s="21"/>
      <c r="C31" s="21"/>
      <c r="D31" s="21"/>
      <c r="E31" s="21"/>
      <c r="F31" s="24"/>
      <c r="G31" s="25"/>
      <c r="H31" s="25"/>
      <c r="I31" s="25"/>
      <c r="J31" s="25"/>
      <c r="K31" s="25"/>
      <c r="L31" s="25"/>
      <c r="M31" s="25"/>
      <c r="N31" s="25"/>
      <c r="O31" s="25"/>
      <c r="P31" s="35"/>
      <c r="Q31" s="35"/>
      <c r="R31" s="35"/>
      <c r="S31" s="35"/>
      <c r="T31" s="25"/>
      <c r="U31" s="24"/>
      <c r="V31" s="25"/>
      <c r="W31" s="25"/>
      <c r="X31" s="25"/>
      <c r="Y31" s="25"/>
      <c r="Z31" s="25"/>
      <c r="AA31" s="25"/>
      <c r="AB31" s="25"/>
      <c r="AC31" s="25"/>
      <c r="AD31" s="24"/>
      <c r="AE31" s="24"/>
      <c r="AF31" s="24"/>
      <c r="AG31" s="24"/>
      <c r="AH31" s="24"/>
      <c r="AI31" s="24"/>
      <c r="AJ31" s="24"/>
      <c r="AK31" s="24"/>
      <c r="AL31" s="24"/>
      <c r="AM31" s="24"/>
      <c r="AN31" s="24"/>
      <c r="AO31" s="24"/>
      <c r="AP31" s="24"/>
      <c r="AQ31" s="24"/>
      <c r="AR31" s="24"/>
      <c r="AS31" s="24"/>
      <c r="AT31" s="24"/>
      <c r="AU31" s="24"/>
      <c r="AV31" s="24"/>
      <c r="AW31" s="24"/>
      <c r="AX31" s="24"/>
      <c r="AY31" s="24"/>
      <c r="AZ31" s="24"/>
      <c r="BA31" s="24"/>
      <c r="BB31" s="24"/>
      <c r="BC31" s="24"/>
      <c r="BD31" s="24"/>
      <c r="BE31" s="24"/>
      <c r="BF31" s="24"/>
      <c r="BG31" s="24"/>
      <c r="BH31" s="24"/>
      <c r="BI31" s="24"/>
      <c r="BJ31" s="24"/>
      <c r="BK31" s="24"/>
      <c r="BL31" s="24"/>
      <c r="BM31" s="24"/>
      <c r="BN31" s="24"/>
      <c r="BO31" s="24"/>
      <c r="BP31" s="24"/>
      <c r="BQ31" s="24"/>
      <c r="BR31" s="24"/>
      <c r="BS31" s="24"/>
      <c r="BT31" s="24"/>
      <c r="BU31" s="24"/>
      <c r="BV31" s="24"/>
      <c r="BW31" s="24"/>
      <c r="BX31" s="24"/>
      <c r="BY31" s="24"/>
      <c r="BZ31" s="24"/>
      <c r="CA31" s="24"/>
      <c r="CB31" s="24"/>
      <c r="CC31" s="24"/>
    </row>
    <row r="32" spans="1:81">
      <c r="A32" s="19"/>
      <c r="B32" s="21"/>
      <c r="C32" s="21"/>
      <c r="D32" s="21"/>
      <c r="E32" s="21"/>
      <c r="F32" s="24"/>
      <c r="G32" s="25"/>
      <c r="H32" s="25"/>
      <c r="I32" s="25"/>
      <c r="J32" s="25"/>
      <c r="K32" s="25"/>
      <c r="L32" s="25"/>
      <c r="M32" s="25"/>
      <c r="N32" s="25"/>
      <c r="O32" s="25"/>
      <c r="P32" s="25"/>
      <c r="Q32" s="25"/>
      <c r="R32" s="25"/>
      <c r="S32" s="25"/>
      <c r="T32" s="25"/>
      <c r="U32" s="24"/>
      <c r="V32" s="25"/>
      <c r="W32" s="25"/>
      <c r="X32" s="25"/>
      <c r="Y32" s="25"/>
      <c r="Z32" s="25"/>
      <c r="AA32" s="25"/>
      <c r="AB32" s="25"/>
      <c r="AC32" s="25"/>
      <c r="AD32" s="24"/>
      <c r="AE32" s="24"/>
      <c r="AF32" s="24"/>
      <c r="AG32" s="24"/>
      <c r="AH32" s="24"/>
      <c r="AI32" s="24"/>
      <c r="AJ32" s="24"/>
      <c r="AK32" s="24"/>
      <c r="AL32" s="24"/>
      <c r="AM32" s="24"/>
      <c r="AN32" s="24"/>
      <c r="AO32" s="24"/>
      <c r="AP32" s="24"/>
      <c r="AQ32" s="24"/>
      <c r="AR32" s="24"/>
      <c r="AS32" s="24"/>
      <c r="AT32" s="24"/>
      <c r="AU32" s="24"/>
      <c r="AV32" s="24"/>
      <c r="AW32" s="24"/>
      <c r="AX32" s="24"/>
      <c r="AY32" s="24"/>
      <c r="AZ32" s="24"/>
      <c r="BA32" s="24"/>
      <c r="BB32" s="24"/>
      <c r="BC32" s="24"/>
      <c r="BD32" s="24"/>
      <c r="BE32" s="24"/>
      <c r="BF32" s="24"/>
      <c r="BG32" s="24"/>
      <c r="BH32" s="24"/>
      <c r="BI32" s="24"/>
      <c r="BJ32" s="24"/>
      <c r="BK32" s="24"/>
      <c r="BL32" s="24"/>
      <c r="BM32" s="24"/>
      <c r="BN32" s="24"/>
      <c r="BO32" s="24"/>
      <c r="BP32" s="24"/>
      <c r="BQ32" s="24"/>
      <c r="BR32" s="24"/>
      <c r="BS32" s="24"/>
      <c r="BT32" s="24"/>
      <c r="BU32" s="24"/>
      <c r="BV32" s="24"/>
      <c r="BW32" s="24"/>
      <c r="BX32" s="24"/>
      <c r="BY32" s="24"/>
      <c r="BZ32" s="24"/>
      <c r="CA32" s="24"/>
      <c r="CB32" s="24"/>
      <c r="CC32" s="24"/>
    </row>
    <row r="33" spans="1:81">
      <c r="A33" s="19"/>
      <c r="B33" s="21"/>
      <c r="C33" s="21"/>
      <c r="D33" s="21"/>
      <c r="E33" s="21"/>
      <c r="F33" s="24"/>
      <c r="G33" s="25"/>
      <c r="H33" s="25"/>
      <c r="I33" s="25"/>
      <c r="J33" s="25"/>
      <c r="K33" s="25"/>
      <c r="L33" s="25"/>
      <c r="M33" s="25"/>
      <c r="N33" s="25"/>
      <c r="O33" s="25"/>
      <c r="P33" s="25"/>
      <c r="Q33" s="25"/>
      <c r="R33" s="25"/>
      <c r="S33" s="25"/>
      <c r="T33" s="25"/>
      <c r="U33" s="24"/>
      <c r="V33" s="25"/>
      <c r="W33" s="25"/>
      <c r="X33" s="25"/>
      <c r="Y33" s="25"/>
      <c r="Z33" s="25"/>
      <c r="AA33" s="25"/>
      <c r="AB33" s="25"/>
      <c r="AC33" s="25"/>
      <c r="AD33" s="24"/>
      <c r="AE33" s="24"/>
      <c r="AF33" s="24"/>
      <c r="AG33" s="24"/>
      <c r="AH33" s="24"/>
      <c r="AI33" s="24"/>
      <c r="AJ33" s="24"/>
      <c r="AK33" s="24"/>
      <c r="AL33" s="24"/>
      <c r="AM33" s="24"/>
      <c r="AN33" s="24"/>
      <c r="AO33" s="24"/>
      <c r="AP33" s="24"/>
      <c r="AQ33" s="24"/>
      <c r="AR33" s="24"/>
      <c r="AS33" s="24"/>
      <c r="AT33" s="24"/>
      <c r="AU33" s="24"/>
      <c r="AV33" s="24"/>
      <c r="AW33" s="24"/>
      <c r="AX33" s="24"/>
      <c r="AY33" s="24"/>
      <c r="AZ33" s="24"/>
      <c r="BA33" s="24"/>
      <c r="BB33" s="24"/>
      <c r="BC33" s="24"/>
      <c r="BD33" s="24"/>
      <c r="BE33" s="24"/>
      <c r="BF33" s="24"/>
      <c r="BG33" s="24"/>
      <c r="BH33" s="24"/>
      <c r="BI33" s="24"/>
      <c r="BJ33" s="24"/>
      <c r="BK33" s="24"/>
      <c r="BL33" s="24"/>
      <c r="BM33" s="24"/>
      <c r="BN33" s="24"/>
      <c r="BO33" s="24"/>
      <c r="BP33" s="24"/>
      <c r="BQ33" s="24"/>
      <c r="BR33" s="24"/>
      <c r="BS33" s="24"/>
      <c r="BT33" s="24"/>
      <c r="BU33" s="24"/>
      <c r="BV33" s="24"/>
      <c r="BW33" s="24"/>
      <c r="BX33" s="24"/>
      <c r="BY33" s="24"/>
      <c r="BZ33" s="24"/>
      <c r="CA33" s="24"/>
      <c r="CB33" s="24"/>
      <c r="CC33" s="24"/>
    </row>
    <row r="34" spans="1:81">
      <c r="A34" s="19"/>
      <c r="B34" s="21"/>
      <c r="C34" s="21"/>
      <c r="D34" s="21"/>
      <c r="E34" s="21"/>
      <c r="F34" s="24"/>
      <c r="G34" s="25"/>
      <c r="H34" s="25"/>
      <c r="I34" s="25"/>
      <c r="J34" s="25"/>
      <c r="K34" s="25"/>
      <c r="L34" s="25"/>
      <c r="M34" s="25"/>
      <c r="N34" s="25"/>
      <c r="O34" s="25"/>
      <c r="P34" s="25"/>
      <c r="Q34" s="25"/>
      <c r="R34" s="25"/>
      <c r="S34" s="25"/>
      <c r="T34" s="25"/>
      <c r="U34" s="24"/>
      <c r="V34" s="25"/>
      <c r="W34" s="25"/>
      <c r="X34" s="25"/>
      <c r="Y34" s="25"/>
      <c r="Z34" s="25"/>
      <c r="AA34" s="25"/>
      <c r="AB34" s="25"/>
      <c r="AC34" s="25"/>
      <c r="AD34" s="24"/>
      <c r="AE34" s="24"/>
      <c r="AF34" s="24"/>
      <c r="AG34" s="24"/>
      <c r="AH34" s="24"/>
      <c r="AI34" s="24"/>
      <c r="AJ34" s="24"/>
      <c r="AK34" s="24"/>
      <c r="AL34" s="24"/>
      <c r="AM34" s="24"/>
      <c r="AN34" s="24"/>
      <c r="AO34" s="24"/>
      <c r="AP34" s="24"/>
      <c r="AQ34" s="24"/>
      <c r="AR34" s="24"/>
      <c r="AS34" s="24"/>
      <c r="AT34" s="24"/>
      <c r="AU34" s="24"/>
      <c r="AV34" s="24"/>
      <c r="AW34" s="24"/>
      <c r="AX34" s="24"/>
      <c r="AY34" s="24"/>
      <c r="AZ34" s="24"/>
      <c r="BA34" s="24"/>
      <c r="BB34" s="24"/>
      <c r="BC34" s="24"/>
      <c r="BD34" s="24"/>
      <c r="BE34" s="24"/>
      <c r="BF34" s="24"/>
      <c r="BG34" s="24"/>
      <c r="BH34" s="24"/>
      <c r="BI34" s="24"/>
      <c r="BJ34" s="24"/>
      <c r="BK34" s="24"/>
      <c r="BL34" s="24"/>
      <c r="BM34" s="24"/>
      <c r="BN34" s="24"/>
      <c r="BO34" s="24"/>
      <c r="BP34" s="24"/>
      <c r="BQ34" s="24"/>
      <c r="BR34" s="24"/>
      <c r="BS34" s="24"/>
      <c r="BT34" s="24"/>
      <c r="BU34" s="24"/>
      <c r="BV34" s="24"/>
      <c r="BW34" s="24"/>
      <c r="BX34" s="24"/>
      <c r="BY34" s="24"/>
      <c r="BZ34" s="24"/>
      <c r="CA34" s="24"/>
      <c r="CB34" s="24"/>
      <c r="CC34" s="24"/>
    </row>
    <row r="35" spans="1:81">
      <c r="A35" s="19"/>
      <c r="B35" s="21"/>
      <c r="C35" s="21"/>
      <c r="D35" s="21"/>
      <c r="E35" s="21"/>
      <c r="F35" s="24"/>
      <c r="G35" s="25"/>
      <c r="H35" s="25"/>
      <c r="I35" s="25"/>
      <c r="J35" s="25"/>
      <c r="K35" s="25"/>
      <c r="L35" s="25"/>
      <c r="M35" s="25"/>
      <c r="N35" s="25"/>
      <c r="O35" s="25"/>
      <c r="P35" s="25"/>
      <c r="Q35" s="25"/>
      <c r="R35" s="25"/>
      <c r="S35" s="25"/>
      <c r="T35" s="25"/>
      <c r="U35" s="24"/>
      <c r="V35" s="25"/>
      <c r="W35" s="25"/>
      <c r="X35" s="25"/>
      <c r="Y35" s="25"/>
      <c r="Z35" s="25"/>
      <c r="AA35" s="25"/>
      <c r="AB35" s="25"/>
      <c r="AC35" s="25"/>
      <c r="AD35" s="24"/>
      <c r="AE35" s="24"/>
      <c r="AF35" s="24"/>
      <c r="AG35" s="24"/>
      <c r="AH35" s="24"/>
      <c r="AI35" s="24"/>
      <c r="AJ35" s="24"/>
      <c r="AK35" s="24"/>
      <c r="AL35" s="24"/>
      <c r="AM35" s="24"/>
      <c r="AN35" s="24"/>
      <c r="AO35" s="24"/>
      <c r="AP35" s="24"/>
      <c r="AQ35" s="24"/>
      <c r="AR35" s="24"/>
      <c r="AS35" s="24"/>
      <c r="AT35" s="24"/>
      <c r="AU35" s="24"/>
      <c r="AV35" s="24"/>
      <c r="AW35" s="24"/>
      <c r="AX35" s="24"/>
      <c r="AY35" s="24"/>
      <c r="AZ35" s="24"/>
      <c r="BA35" s="24"/>
      <c r="BB35" s="24"/>
      <c r="BC35" s="24"/>
      <c r="BD35" s="24"/>
      <c r="BE35" s="24"/>
      <c r="BF35" s="24"/>
      <c r="BG35" s="24"/>
      <c r="BH35" s="24"/>
      <c r="BI35" s="24"/>
      <c r="BJ35" s="24"/>
      <c r="BK35" s="24"/>
      <c r="BL35" s="24"/>
      <c r="BM35" s="24"/>
      <c r="BN35" s="24"/>
      <c r="BO35" s="24"/>
      <c r="BP35" s="24"/>
      <c r="BQ35" s="24"/>
      <c r="BR35" s="24"/>
      <c r="BS35" s="24"/>
      <c r="BT35" s="24"/>
      <c r="BU35" s="24"/>
      <c r="BV35" s="24"/>
      <c r="BW35" s="24"/>
      <c r="BX35" s="24"/>
      <c r="BY35" s="24"/>
      <c r="BZ35" s="24"/>
      <c r="CA35" s="24"/>
      <c r="CB35" s="24"/>
      <c r="CC35" s="24"/>
    </row>
    <row r="36" spans="1:81">
      <c r="A36" s="19"/>
      <c r="B36" s="21"/>
      <c r="C36" s="21"/>
      <c r="D36" s="21"/>
      <c r="E36" s="21"/>
      <c r="F36" s="24"/>
      <c r="G36" s="25"/>
      <c r="H36" s="25"/>
      <c r="I36" s="25"/>
      <c r="J36" s="25"/>
      <c r="K36" s="25"/>
      <c r="L36" s="25"/>
      <c r="M36" s="25"/>
      <c r="N36" s="25"/>
      <c r="O36" s="25"/>
      <c r="P36" s="25"/>
      <c r="Q36" s="25"/>
      <c r="R36" s="25"/>
      <c r="S36" s="25"/>
      <c r="T36" s="25"/>
      <c r="U36" s="24"/>
      <c r="V36" s="25"/>
      <c r="W36" s="25"/>
      <c r="X36" s="25"/>
      <c r="Y36" s="25"/>
      <c r="Z36" s="25"/>
      <c r="AA36" s="25"/>
      <c r="AB36" s="25"/>
      <c r="AC36" s="25"/>
      <c r="AD36" s="24"/>
      <c r="AE36" s="24"/>
      <c r="AF36" s="24"/>
      <c r="AG36" s="24"/>
      <c r="AH36" s="24"/>
      <c r="AI36" s="24"/>
      <c r="AJ36" s="24"/>
      <c r="AK36" s="24"/>
      <c r="AL36" s="24"/>
      <c r="AM36" s="24"/>
      <c r="AN36" s="24"/>
      <c r="AO36" s="24"/>
      <c r="AP36" s="24"/>
      <c r="AQ36" s="24"/>
      <c r="AR36" s="24"/>
      <c r="AS36" s="24"/>
      <c r="AT36" s="24"/>
      <c r="AU36" s="24"/>
      <c r="AV36" s="24"/>
      <c r="AW36" s="24"/>
      <c r="AX36" s="24"/>
      <c r="AY36" s="24"/>
      <c r="AZ36" s="24"/>
      <c r="BA36" s="24"/>
      <c r="BB36" s="24"/>
      <c r="BC36" s="24"/>
      <c r="BD36" s="24"/>
      <c r="BE36" s="24"/>
      <c r="BF36" s="24"/>
      <c r="BG36" s="24"/>
      <c r="BH36" s="24"/>
      <c r="BI36" s="24"/>
      <c r="BJ36" s="24"/>
      <c r="BK36" s="24"/>
      <c r="BL36" s="24"/>
      <c r="BM36" s="24"/>
      <c r="BN36" s="24"/>
      <c r="BO36" s="24"/>
      <c r="BP36" s="24"/>
      <c r="BQ36" s="24"/>
      <c r="BR36" s="24"/>
      <c r="BS36" s="24"/>
      <c r="BT36" s="24"/>
      <c r="BU36" s="24"/>
      <c r="BV36" s="24"/>
      <c r="BW36" s="24"/>
      <c r="BX36" s="24"/>
      <c r="BY36" s="24"/>
      <c r="BZ36" s="24"/>
      <c r="CA36" s="24"/>
      <c r="CB36" s="24"/>
      <c r="CC36" s="24"/>
    </row>
    <row r="37" spans="1:81">
      <c r="A37" s="19"/>
      <c r="B37" s="21"/>
      <c r="C37" s="21"/>
      <c r="D37" s="21"/>
      <c r="E37" s="21"/>
      <c r="F37" s="24"/>
      <c r="G37" s="24"/>
      <c r="H37" s="24"/>
      <c r="I37" s="24"/>
      <c r="J37" s="24"/>
      <c r="K37" s="24"/>
      <c r="L37" s="24"/>
      <c r="M37" s="24"/>
      <c r="N37" s="24"/>
      <c r="O37" s="24"/>
      <c r="P37" s="24"/>
      <c r="Q37" s="24"/>
      <c r="R37" s="24"/>
      <c r="S37" s="24"/>
      <c r="T37" s="24"/>
      <c r="U37" s="24"/>
      <c r="V37" s="24"/>
      <c r="W37" s="24"/>
      <c r="X37" s="24"/>
      <c r="Y37" s="24"/>
      <c r="Z37" s="24"/>
      <c r="AA37" s="24"/>
      <c r="AB37" s="24"/>
      <c r="AC37" s="24"/>
      <c r="AD37" s="24"/>
      <c r="AE37" s="24"/>
      <c r="AF37" s="24"/>
      <c r="AG37" s="24"/>
      <c r="AH37" s="24"/>
      <c r="AI37" s="24"/>
      <c r="AJ37" s="24"/>
      <c r="AK37" s="24"/>
      <c r="AL37" s="24"/>
      <c r="AM37" s="24"/>
      <c r="AN37" s="24"/>
      <c r="AO37" s="24"/>
      <c r="AP37" s="24"/>
      <c r="AQ37" s="24"/>
      <c r="AR37" s="24"/>
      <c r="AS37" s="24"/>
      <c r="AT37" s="24"/>
      <c r="AU37" s="24"/>
      <c r="AV37" s="24"/>
      <c r="AW37" s="24"/>
      <c r="AX37" s="24"/>
      <c r="AY37" s="24"/>
      <c r="AZ37" s="24"/>
      <c r="BA37" s="24"/>
      <c r="BB37" s="24"/>
      <c r="BC37" s="24"/>
      <c r="BD37" s="24"/>
      <c r="BE37" s="24"/>
      <c r="BF37" s="24"/>
      <c r="BG37" s="24"/>
      <c r="BH37" s="24"/>
      <c r="BI37" s="24"/>
      <c r="BJ37" s="24"/>
      <c r="BK37" s="24"/>
      <c r="BL37" s="24"/>
      <c r="BM37" s="24"/>
      <c r="BN37" s="24"/>
      <c r="BO37" s="24"/>
      <c r="BP37" s="24"/>
      <c r="BQ37" s="24"/>
      <c r="BR37" s="24"/>
      <c r="BS37" s="24"/>
      <c r="BT37" s="24"/>
      <c r="BU37" s="24"/>
      <c r="BV37" s="24"/>
      <c r="BW37" s="24"/>
      <c r="BX37" s="24"/>
      <c r="BY37" s="24"/>
      <c r="BZ37" s="24"/>
      <c r="CA37" s="24"/>
      <c r="CB37" s="24"/>
      <c r="CC37" s="24"/>
    </row>
    <row r="38" spans="1:81">
      <c r="A38" s="19"/>
      <c r="B38" s="21"/>
      <c r="C38" s="21"/>
      <c r="D38" s="21"/>
      <c r="E38" s="21"/>
      <c r="F38" s="24"/>
      <c r="G38" s="24"/>
      <c r="H38" s="24"/>
      <c r="I38" s="24"/>
      <c r="J38" s="24"/>
      <c r="K38" s="24"/>
      <c r="L38" s="24"/>
      <c r="M38" s="24"/>
      <c r="N38" s="24"/>
      <c r="O38" s="24"/>
      <c r="P38" s="24"/>
      <c r="Q38" s="24"/>
      <c r="R38" s="24"/>
      <c r="S38" s="24"/>
      <c r="T38" s="24"/>
      <c r="U38" s="24"/>
      <c r="V38" s="24"/>
      <c r="W38" s="24"/>
      <c r="X38" s="24"/>
      <c r="Y38" s="24"/>
      <c r="Z38" s="24"/>
      <c r="AA38" s="24"/>
      <c r="AB38" s="24"/>
      <c r="AC38" s="24"/>
      <c r="AD38" s="24"/>
      <c r="AE38" s="24"/>
      <c r="AF38" s="24"/>
      <c r="AG38" s="24"/>
      <c r="AH38" s="24"/>
      <c r="AI38" s="24"/>
      <c r="AJ38" s="24"/>
      <c r="AK38" s="24"/>
      <c r="AL38" s="24"/>
      <c r="AM38" s="24"/>
      <c r="AN38" s="24"/>
      <c r="AO38" s="24"/>
      <c r="AP38" s="24"/>
      <c r="AQ38" s="24"/>
      <c r="AR38" s="24"/>
      <c r="AS38" s="24"/>
      <c r="AT38" s="24"/>
      <c r="AU38" s="24"/>
      <c r="AV38" s="24"/>
      <c r="AW38" s="24"/>
      <c r="AX38" s="24"/>
      <c r="AY38" s="24"/>
      <c r="AZ38" s="24"/>
      <c r="BA38" s="24"/>
      <c r="BB38" s="24"/>
      <c r="BC38" s="24"/>
      <c r="BD38" s="24"/>
      <c r="BE38" s="24"/>
      <c r="BF38" s="24"/>
      <c r="BG38" s="24"/>
      <c r="BH38" s="24"/>
      <c r="BI38" s="24"/>
      <c r="BJ38" s="24"/>
      <c r="BK38" s="24"/>
      <c r="BL38" s="24"/>
      <c r="BM38" s="24"/>
      <c r="BN38" s="24"/>
      <c r="BO38" s="24"/>
      <c r="BP38" s="24"/>
      <c r="BQ38" s="24"/>
      <c r="BR38" s="24"/>
      <c r="BS38" s="24"/>
      <c r="BT38" s="24"/>
      <c r="BU38" s="24"/>
      <c r="BV38" s="24"/>
      <c r="BW38" s="24"/>
      <c r="BX38" s="24"/>
      <c r="BY38" s="24"/>
      <c r="BZ38" s="24"/>
      <c r="CA38" s="24"/>
      <c r="CB38" s="24"/>
      <c r="CC38" s="24"/>
    </row>
    <row r="39" spans="1:81">
      <c r="A39" s="19"/>
      <c r="B39" s="21"/>
      <c r="C39" s="21"/>
      <c r="D39" s="21"/>
      <c r="E39" s="21"/>
      <c r="F39" s="24"/>
      <c r="G39" s="24"/>
      <c r="H39" s="24"/>
      <c r="I39" s="24"/>
      <c r="J39" s="24"/>
      <c r="K39" s="24"/>
      <c r="L39" s="24"/>
      <c r="M39" s="24"/>
      <c r="N39" s="24"/>
      <c r="O39" s="24"/>
      <c r="P39" s="24"/>
      <c r="Q39" s="24"/>
      <c r="R39" s="24"/>
      <c r="S39" s="24"/>
      <c r="T39" s="24"/>
      <c r="U39" s="24"/>
      <c r="V39" s="24"/>
      <c r="W39" s="24"/>
      <c r="X39" s="24"/>
      <c r="Y39" s="24"/>
      <c r="Z39" s="24"/>
      <c r="AA39" s="24"/>
      <c r="AB39" s="24"/>
      <c r="AC39" s="24"/>
      <c r="AD39" s="24"/>
      <c r="AE39" s="24"/>
      <c r="AF39" s="24"/>
      <c r="AG39" s="24"/>
      <c r="AH39" s="24"/>
      <c r="AI39" s="24"/>
      <c r="AJ39" s="24"/>
      <c r="AK39" s="24"/>
      <c r="AL39" s="24"/>
      <c r="AM39" s="24"/>
      <c r="AN39" s="24"/>
      <c r="AO39" s="24"/>
      <c r="AP39" s="24"/>
      <c r="AQ39" s="24"/>
      <c r="AR39" s="24"/>
      <c r="AS39" s="24"/>
      <c r="AT39" s="24"/>
      <c r="AU39" s="24"/>
      <c r="AV39" s="24"/>
      <c r="AW39" s="24"/>
      <c r="AX39" s="24"/>
      <c r="AY39" s="24"/>
      <c r="AZ39" s="24"/>
      <c r="BA39" s="24"/>
      <c r="BB39" s="24"/>
      <c r="BC39" s="24"/>
      <c r="BD39" s="24"/>
      <c r="BE39" s="24"/>
      <c r="BF39" s="24"/>
      <c r="BG39" s="24"/>
      <c r="BH39" s="24"/>
      <c r="BI39" s="24"/>
      <c r="BJ39" s="24"/>
      <c r="BK39" s="24"/>
      <c r="BL39" s="24"/>
      <c r="BM39" s="24"/>
      <c r="BN39" s="24"/>
      <c r="BO39" s="24"/>
      <c r="BP39" s="24"/>
      <c r="BQ39" s="24"/>
      <c r="BR39" s="24"/>
      <c r="BS39" s="24"/>
      <c r="BT39" s="24"/>
      <c r="BU39" s="24"/>
      <c r="BV39" s="24"/>
      <c r="BW39" s="24"/>
      <c r="BX39" s="24"/>
      <c r="BY39" s="24"/>
      <c r="BZ39" s="24"/>
      <c r="CA39" s="24"/>
      <c r="CB39" s="24"/>
      <c r="CC39" s="24"/>
    </row>
    <row r="40" spans="1:81">
      <c r="A40" s="19"/>
      <c r="B40" s="21"/>
      <c r="C40" s="21"/>
      <c r="D40" s="21"/>
      <c r="E40" s="21"/>
      <c r="F40" s="24"/>
      <c r="G40" s="24"/>
      <c r="H40" s="24"/>
      <c r="I40" s="24"/>
      <c r="J40" s="24"/>
      <c r="K40" s="24"/>
      <c r="L40" s="24"/>
      <c r="M40" s="24"/>
      <c r="N40" s="24"/>
      <c r="O40" s="24"/>
      <c r="P40" s="24"/>
      <c r="Q40" s="24"/>
      <c r="R40" s="24"/>
      <c r="S40" s="24"/>
      <c r="T40" s="24"/>
      <c r="U40" s="24"/>
      <c r="V40" s="24"/>
      <c r="W40" s="24"/>
      <c r="X40" s="24"/>
      <c r="Y40" s="24"/>
      <c r="Z40" s="24"/>
      <c r="AA40" s="24"/>
      <c r="AB40" s="24"/>
      <c r="AC40" s="24"/>
      <c r="AD40" s="24"/>
      <c r="AE40" s="24"/>
      <c r="AF40" s="24"/>
      <c r="AG40" s="24"/>
      <c r="AH40" s="24"/>
      <c r="AI40" s="24"/>
      <c r="AJ40" s="24"/>
      <c r="AK40" s="24"/>
      <c r="AL40" s="24"/>
      <c r="AM40" s="24"/>
      <c r="AN40" s="24"/>
      <c r="AO40" s="24"/>
      <c r="AP40" s="24"/>
      <c r="AQ40" s="24"/>
      <c r="AR40" s="24"/>
      <c r="AS40" s="24"/>
      <c r="AT40" s="24"/>
      <c r="AU40" s="24"/>
      <c r="AV40" s="24"/>
      <c r="AW40" s="24"/>
      <c r="AX40" s="24"/>
      <c r="AY40" s="24"/>
      <c r="AZ40" s="24"/>
      <c r="BA40" s="24"/>
      <c r="BB40" s="24"/>
      <c r="BC40" s="24"/>
      <c r="BD40" s="24"/>
      <c r="BE40" s="24"/>
      <c r="BF40" s="24"/>
      <c r="BG40" s="24"/>
      <c r="BH40" s="24"/>
      <c r="BI40" s="24"/>
      <c r="BJ40" s="24"/>
      <c r="BK40" s="24"/>
      <c r="BL40" s="24"/>
      <c r="BM40" s="24"/>
      <c r="BN40" s="24"/>
      <c r="BO40" s="24"/>
      <c r="BP40" s="24"/>
      <c r="BQ40" s="24"/>
      <c r="BR40" s="24"/>
      <c r="BS40" s="24"/>
      <c r="BT40" s="24"/>
      <c r="BU40" s="24"/>
      <c r="BV40" s="24"/>
      <c r="BW40" s="24"/>
      <c r="BX40" s="24"/>
      <c r="BY40" s="24"/>
      <c r="BZ40" s="24"/>
      <c r="CA40" s="24"/>
      <c r="CB40" s="24"/>
      <c r="CC40" s="24"/>
    </row>
    <row r="41" spans="1:81">
      <c r="A41" s="19"/>
      <c r="B41" s="21"/>
      <c r="C41" s="21"/>
      <c r="D41" s="21"/>
      <c r="E41" s="21"/>
      <c r="F41" s="24"/>
      <c r="G41" s="24"/>
      <c r="H41" s="24"/>
      <c r="I41" s="24"/>
      <c r="J41" s="24"/>
      <c r="K41" s="24"/>
      <c r="L41" s="24"/>
      <c r="M41" s="24"/>
      <c r="N41" s="24"/>
      <c r="O41" s="24"/>
      <c r="P41" s="24"/>
      <c r="Q41" s="24"/>
      <c r="R41" s="24"/>
      <c r="S41" s="24"/>
      <c r="T41" s="24"/>
      <c r="U41" s="24"/>
      <c r="V41" s="24"/>
      <c r="W41" s="24"/>
      <c r="X41" s="24"/>
      <c r="Y41" s="24"/>
      <c r="Z41" s="24"/>
      <c r="AA41" s="24"/>
      <c r="AB41" s="24"/>
      <c r="AC41" s="24"/>
      <c r="AD41" s="24"/>
      <c r="AE41" s="24"/>
      <c r="AF41" s="24"/>
      <c r="AG41" s="24"/>
      <c r="AH41" s="24"/>
      <c r="AI41" s="24"/>
      <c r="AJ41" s="24"/>
      <c r="AK41" s="24"/>
      <c r="AL41" s="24"/>
      <c r="AM41" s="24"/>
      <c r="AN41" s="24"/>
      <c r="AO41" s="24"/>
      <c r="AP41" s="24"/>
      <c r="AQ41" s="24"/>
      <c r="AR41" s="24"/>
      <c r="AS41" s="24"/>
      <c r="AT41" s="24"/>
      <c r="AU41" s="24"/>
      <c r="AV41" s="24"/>
      <c r="AW41" s="24"/>
      <c r="AX41" s="24"/>
      <c r="AY41" s="24"/>
      <c r="AZ41" s="24"/>
      <c r="BA41" s="24"/>
      <c r="BB41" s="24"/>
      <c r="BC41" s="24"/>
      <c r="BD41" s="24"/>
      <c r="BE41" s="24"/>
      <c r="BF41" s="24"/>
      <c r="BG41" s="24"/>
      <c r="BH41" s="24"/>
      <c r="BI41" s="24"/>
      <c r="BJ41" s="24"/>
      <c r="BK41" s="24"/>
      <c r="BL41" s="24"/>
      <c r="BM41" s="24"/>
      <c r="BN41" s="24"/>
      <c r="BO41" s="24"/>
      <c r="BP41" s="24"/>
      <c r="BQ41" s="24"/>
      <c r="BR41" s="24"/>
      <c r="BS41" s="24"/>
      <c r="BT41" s="24"/>
      <c r="BU41" s="24"/>
      <c r="BV41" s="24"/>
      <c r="BW41" s="24"/>
      <c r="BX41" s="24"/>
      <c r="BY41" s="24"/>
      <c r="BZ41" s="24"/>
      <c r="CA41" s="24"/>
      <c r="CB41" s="24"/>
      <c r="CC41" s="24"/>
    </row>
    <row r="42" spans="1:81">
      <c r="A42" s="19"/>
      <c r="B42" s="21"/>
      <c r="C42" s="21"/>
      <c r="D42" s="21"/>
      <c r="E42" s="21"/>
      <c r="F42" s="24"/>
      <c r="G42" s="24"/>
      <c r="H42" s="24"/>
      <c r="I42" s="24"/>
      <c r="J42" s="24"/>
      <c r="K42" s="24"/>
      <c r="L42" s="24"/>
      <c r="M42" s="24"/>
      <c r="N42" s="24"/>
      <c r="O42" s="24"/>
      <c r="P42" s="24"/>
      <c r="Q42" s="24"/>
      <c r="R42" s="24"/>
      <c r="S42" s="24"/>
      <c r="T42" s="24"/>
      <c r="U42" s="24"/>
      <c r="V42" s="24"/>
      <c r="W42" s="24"/>
      <c r="X42" s="24"/>
      <c r="Y42" s="24"/>
      <c r="Z42" s="24"/>
      <c r="AA42" s="24"/>
      <c r="AB42" s="24"/>
      <c r="AC42" s="24"/>
      <c r="AD42" s="24"/>
      <c r="AE42" s="24"/>
      <c r="AF42" s="24"/>
      <c r="AG42" s="24"/>
      <c r="AH42" s="24"/>
      <c r="AI42" s="24"/>
      <c r="AJ42" s="24"/>
      <c r="AK42" s="24"/>
      <c r="AL42" s="24"/>
      <c r="AM42" s="24"/>
      <c r="AN42" s="24"/>
      <c r="AO42" s="24"/>
      <c r="AP42" s="24"/>
      <c r="AQ42" s="24"/>
      <c r="AR42" s="24"/>
      <c r="AS42" s="24"/>
      <c r="AT42" s="24"/>
      <c r="AU42" s="24"/>
      <c r="AV42" s="24"/>
      <c r="AW42" s="24"/>
      <c r="AX42" s="24"/>
      <c r="AY42" s="24"/>
      <c r="AZ42" s="24"/>
      <c r="BA42" s="24"/>
      <c r="BB42" s="24"/>
      <c r="BC42" s="24"/>
      <c r="BD42" s="24"/>
      <c r="BE42" s="24"/>
      <c r="BF42" s="24"/>
      <c r="BG42" s="24"/>
      <c r="BH42" s="24"/>
      <c r="BI42" s="24"/>
      <c r="BJ42" s="24"/>
      <c r="BK42" s="24"/>
      <c r="BL42" s="24"/>
      <c r="BM42" s="24"/>
      <c r="BN42" s="24"/>
      <c r="BO42" s="24"/>
      <c r="BP42" s="24"/>
      <c r="BQ42" s="24"/>
      <c r="BR42" s="24"/>
      <c r="BS42" s="24"/>
      <c r="BT42" s="24"/>
      <c r="BU42" s="24"/>
      <c r="BV42" s="24"/>
      <c r="BW42" s="24"/>
      <c r="BX42" s="24"/>
      <c r="BY42" s="24"/>
      <c r="BZ42" s="24"/>
      <c r="CA42" s="24"/>
      <c r="CB42" s="24"/>
      <c r="CC42" s="24"/>
    </row>
    <row r="43" spans="1:81">
      <c r="A43" s="19"/>
      <c r="B43" s="21"/>
      <c r="C43" s="21"/>
      <c r="D43" s="21"/>
      <c r="E43" s="21"/>
      <c r="F43" s="24"/>
      <c r="G43" s="24"/>
      <c r="H43" s="24"/>
      <c r="I43" s="24"/>
      <c r="J43" s="24"/>
      <c r="K43" s="24"/>
      <c r="L43" s="24"/>
      <c r="M43" s="24"/>
      <c r="N43" s="24"/>
      <c r="O43" s="24"/>
      <c r="P43" s="24"/>
      <c r="Q43" s="24"/>
      <c r="R43" s="24"/>
      <c r="S43" s="24"/>
      <c r="T43" s="24"/>
      <c r="U43" s="24"/>
      <c r="V43" s="24"/>
      <c r="W43" s="24"/>
      <c r="X43" s="24"/>
      <c r="Y43" s="24"/>
      <c r="Z43" s="24"/>
      <c r="AA43" s="24"/>
      <c r="AB43" s="24"/>
      <c r="AC43" s="24"/>
      <c r="AD43" s="24"/>
      <c r="AE43" s="24"/>
      <c r="AF43" s="24"/>
      <c r="AG43" s="24"/>
      <c r="AH43" s="24"/>
      <c r="AI43" s="24"/>
      <c r="AJ43" s="24"/>
      <c r="AK43" s="24"/>
      <c r="AL43" s="24"/>
      <c r="AM43" s="24"/>
      <c r="AN43" s="24"/>
      <c r="AO43" s="24"/>
      <c r="AP43" s="24"/>
      <c r="AQ43" s="24"/>
      <c r="AR43" s="24"/>
      <c r="AS43" s="24"/>
      <c r="AT43" s="24"/>
      <c r="AU43" s="24"/>
      <c r="AV43" s="24"/>
      <c r="AW43" s="24"/>
      <c r="AX43" s="24"/>
      <c r="AY43" s="24"/>
      <c r="AZ43" s="24"/>
      <c r="BA43" s="24"/>
      <c r="BB43" s="24"/>
      <c r="BC43" s="24"/>
      <c r="BD43" s="24"/>
      <c r="BE43" s="24"/>
      <c r="BF43" s="24"/>
      <c r="BG43" s="24"/>
      <c r="BH43" s="24"/>
      <c r="BI43" s="24"/>
      <c r="BJ43" s="24"/>
      <c r="BK43" s="24"/>
      <c r="BL43" s="24"/>
      <c r="BM43" s="24"/>
      <c r="BN43" s="24"/>
      <c r="BO43" s="24"/>
      <c r="BP43" s="24"/>
      <c r="BQ43" s="24"/>
      <c r="BR43" s="24"/>
      <c r="BS43" s="24"/>
      <c r="BT43" s="24"/>
      <c r="BU43" s="24"/>
      <c r="BV43" s="24"/>
      <c r="BW43" s="24"/>
      <c r="BX43" s="24"/>
      <c r="BY43" s="24"/>
      <c r="BZ43" s="24"/>
      <c r="CA43" s="24"/>
      <c r="CB43" s="24"/>
      <c r="CC43" s="24"/>
    </row>
    <row r="44" spans="1:81">
      <c r="A44" s="19"/>
      <c r="B44" s="21"/>
      <c r="C44" s="21"/>
      <c r="D44" s="21"/>
      <c r="E44" s="21"/>
      <c r="F44" s="24"/>
      <c r="G44" s="24"/>
      <c r="H44" s="24"/>
      <c r="I44" s="24"/>
      <c r="J44" s="24"/>
      <c r="K44" s="24"/>
      <c r="L44" s="24"/>
      <c r="M44" s="24"/>
      <c r="N44" s="24"/>
      <c r="O44" s="24"/>
      <c r="P44" s="24"/>
      <c r="Q44" s="24"/>
      <c r="R44" s="24"/>
      <c r="S44" s="24"/>
      <c r="T44" s="24"/>
      <c r="U44" s="24"/>
      <c r="V44" s="24"/>
      <c r="W44" s="24"/>
      <c r="X44" s="24"/>
      <c r="Y44" s="24"/>
      <c r="Z44" s="24"/>
      <c r="AA44" s="24"/>
      <c r="AB44" s="24"/>
      <c r="AC44" s="24"/>
      <c r="AD44" s="24"/>
      <c r="AE44" s="24"/>
      <c r="AF44" s="24"/>
      <c r="AG44" s="24"/>
      <c r="AH44" s="24"/>
      <c r="AI44" s="24"/>
      <c r="AJ44" s="24"/>
      <c r="AK44" s="24"/>
      <c r="AL44" s="24"/>
      <c r="AM44" s="24"/>
      <c r="AN44" s="24"/>
      <c r="AO44" s="24"/>
      <c r="AP44" s="24"/>
      <c r="AQ44" s="24"/>
      <c r="AR44" s="24"/>
      <c r="AS44" s="24"/>
      <c r="AT44" s="24"/>
      <c r="AU44" s="24"/>
      <c r="AV44" s="24"/>
      <c r="AW44" s="24"/>
      <c r="AX44" s="24"/>
      <c r="AY44" s="24"/>
      <c r="AZ44" s="24"/>
      <c r="BA44" s="24"/>
      <c r="BB44" s="24"/>
      <c r="BC44" s="24"/>
      <c r="BD44" s="24"/>
      <c r="BE44" s="24"/>
      <c r="BF44" s="24"/>
      <c r="BG44" s="24"/>
      <c r="BH44" s="24"/>
      <c r="BI44" s="24"/>
      <c r="BJ44" s="24"/>
      <c r="BK44" s="24"/>
      <c r="BL44" s="24"/>
      <c r="BM44" s="24"/>
      <c r="BN44" s="24"/>
      <c r="BO44" s="24"/>
      <c r="BP44" s="24"/>
      <c r="BQ44" s="24"/>
      <c r="BR44" s="24"/>
      <c r="BS44" s="24"/>
      <c r="BT44" s="24"/>
      <c r="BU44" s="24"/>
      <c r="BV44" s="24"/>
      <c r="BW44" s="24"/>
      <c r="BX44" s="24"/>
      <c r="BY44" s="24"/>
      <c r="BZ44" s="24"/>
      <c r="CA44" s="24"/>
      <c r="CB44" s="24"/>
      <c r="CC44" s="24"/>
    </row>
    <row r="45" spans="1:81">
      <c r="A45" s="19"/>
      <c r="B45" s="21"/>
      <c r="C45" s="21"/>
      <c r="D45" s="21"/>
      <c r="E45" s="21"/>
      <c r="F45" s="24"/>
      <c r="G45" s="24"/>
      <c r="H45" s="24"/>
      <c r="I45" s="24"/>
      <c r="J45" s="24"/>
      <c r="K45" s="24"/>
      <c r="L45" s="24"/>
      <c r="M45" s="24"/>
      <c r="N45" s="24"/>
      <c r="O45" s="24"/>
      <c r="P45" s="24"/>
      <c r="Q45" s="24"/>
      <c r="R45" s="24"/>
      <c r="S45" s="24"/>
      <c r="T45" s="24"/>
      <c r="U45" s="24"/>
      <c r="V45" s="24"/>
      <c r="W45" s="24"/>
      <c r="X45" s="24"/>
      <c r="Y45" s="24"/>
      <c r="Z45" s="24"/>
      <c r="AA45" s="24"/>
      <c r="AB45" s="24"/>
      <c r="AC45" s="24"/>
      <c r="AD45" s="24"/>
      <c r="AE45" s="24"/>
      <c r="AF45" s="24"/>
      <c r="AG45" s="24"/>
      <c r="AH45" s="24"/>
      <c r="AI45" s="24"/>
      <c r="AJ45" s="24"/>
      <c r="AK45" s="24"/>
      <c r="AL45" s="24"/>
      <c r="AM45" s="24"/>
      <c r="AN45" s="24"/>
      <c r="AO45" s="24"/>
      <c r="AP45" s="24"/>
      <c r="AQ45" s="24"/>
      <c r="AR45" s="24"/>
      <c r="AS45" s="24"/>
      <c r="AT45" s="24"/>
      <c r="AU45" s="24"/>
      <c r="AV45" s="24"/>
      <c r="AW45" s="24"/>
      <c r="AX45" s="24"/>
      <c r="AY45" s="24"/>
      <c r="AZ45" s="24"/>
      <c r="BA45" s="24"/>
      <c r="BB45" s="24"/>
      <c r="BC45" s="24"/>
      <c r="BD45" s="24"/>
      <c r="BE45" s="24"/>
      <c r="BF45" s="24"/>
      <c r="BG45" s="24"/>
      <c r="BH45" s="24"/>
      <c r="BI45" s="24"/>
      <c r="BJ45" s="24"/>
      <c r="BK45" s="24"/>
      <c r="BL45" s="24"/>
      <c r="BM45" s="24"/>
      <c r="BN45" s="24"/>
      <c r="BO45" s="24"/>
      <c r="BP45" s="24"/>
      <c r="BQ45" s="24"/>
      <c r="BR45" s="24"/>
      <c r="BS45" s="24"/>
      <c r="BT45" s="24"/>
      <c r="BU45" s="24"/>
      <c r="BV45" s="24"/>
      <c r="BW45" s="24"/>
      <c r="BX45" s="24"/>
      <c r="BY45" s="24"/>
      <c r="BZ45" s="24"/>
      <c r="CA45" s="24"/>
      <c r="CB45" s="24"/>
      <c r="CC45" s="24"/>
    </row>
    <row r="46" spans="1:81">
      <c r="A46" s="19"/>
      <c r="B46" s="21"/>
      <c r="C46" s="21"/>
      <c r="D46" s="21"/>
      <c r="E46" s="21"/>
      <c r="F46" s="24"/>
      <c r="G46" s="24"/>
      <c r="H46" s="24"/>
      <c r="I46" s="24"/>
      <c r="J46" s="24"/>
      <c r="K46" s="24"/>
      <c r="L46" s="24"/>
      <c r="M46" s="24"/>
      <c r="N46" s="24"/>
      <c r="O46" s="24"/>
      <c r="P46" s="24"/>
      <c r="Q46" s="24"/>
      <c r="R46" s="24"/>
      <c r="S46" s="24"/>
      <c r="T46" s="24"/>
      <c r="U46" s="24"/>
      <c r="V46" s="24"/>
      <c r="W46" s="24"/>
      <c r="X46" s="24"/>
      <c r="Y46" s="24"/>
      <c r="Z46" s="24"/>
      <c r="AA46" s="24"/>
      <c r="AB46" s="24"/>
      <c r="AC46" s="24"/>
      <c r="AD46" s="24"/>
      <c r="AE46" s="24"/>
      <c r="AF46" s="24"/>
      <c r="AG46" s="24"/>
      <c r="AH46" s="24"/>
      <c r="AI46" s="24"/>
      <c r="AJ46" s="24"/>
      <c r="AK46" s="24"/>
      <c r="AL46" s="24"/>
      <c r="AM46" s="24"/>
      <c r="AN46" s="24"/>
      <c r="AO46" s="24"/>
      <c r="AP46" s="24"/>
      <c r="AQ46" s="24"/>
      <c r="AR46" s="24"/>
      <c r="AS46" s="24"/>
      <c r="AT46" s="24"/>
      <c r="AU46" s="24"/>
      <c r="AV46" s="24"/>
      <c r="AW46" s="24"/>
      <c r="AX46" s="24"/>
      <c r="AY46" s="24"/>
      <c r="AZ46" s="24"/>
      <c r="BA46" s="24"/>
      <c r="BB46" s="24"/>
      <c r="BC46" s="24"/>
      <c r="BD46" s="24"/>
      <c r="BE46" s="24"/>
      <c r="BF46" s="24"/>
      <c r="BG46" s="24"/>
      <c r="BH46" s="24"/>
      <c r="BI46" s="24"/>
      <c r="BJ46" s="24"/>
      <c r="BK46" s="24"/>
      <c r="BL46" s="24"/>
      <c r="BM46" s="24"/>
      <c r="BN46" s="24"/>
      <c r="BO46" s="24"/>
      <c r="BP46" s="24"/>
      <c r="BQ46" s="24"/>
      <c r="BR46" s="24"/>
      <c r="BS46" s="24"/>
      <c r="BT46" s="24"/>
      <c r="BU46" s="24"/>
      <c r="BV46" s="24"/>
      <c r="BW46" s="24"/>
      <c r="BX46" s="24"/>
      <c r="BY46" s="24"/>
      <c r="BZ46" s="24"/>
      <c r="CA46" s="24"/>
      <c r="CB46" s="24"/>
      <c r="CC46" s="24"/>
    </row>
    <row r="47" spans="1:81">
      <c r="A47" s="19"/>
      <c r="B47" s="21"/>
      <c r="C47" s="21"/>
      <c r="D47" s="21"/>
      <c r="E47" s="21"/>
      <c r="F47" s="24"/>
      <c r="G47" s="24"/>
      <c r="H47" s="24"/>
      <c r="I47" s="24"/>
      <c r="J47" s="24"/>
      <c r="K47" s="24"/>
      <c r="L47" s="24"/>
      <c r="M47" s="24"/>
      <c r="N47" s="24"/>
      <c r="O47" s="24"/>
      <c r="P47" s="24"/>
      <c r="Q47" s="24"/>
      <c r="R47" s="24"/>
      <c r="S47" s="24"/>
      <c r="T47" s="24"/>
      <c r="U47" s="24"/>
      <c r="V47" s="24"/>
      <c r="W47" s="24"/>
      <c r="X47" s="24"/>
      <c r="Y47" s="24"/>
      <c r="Z47" s="24"/>
      <c r="AA47" s="24"/>
      <c r="AB47" s="24"/>
      <c r="AC47" s="24"/>
      <c r="AD47" s="24"/>
      <c r="AE47" s="24"/>
      <c r="AF47" s="24"/>
      <c r="AG47" s="24"/>
      <c r="AH47" s="24"/>
      <c r="AI47" s="24"/>
      <c r="AJ47" s="24"/>
      <c r="AK47" s="24"/>
      <c r="AL47" s="24"/>
      <c r="AM47" s="24"/>
      <c r="AN47" s="24"/>
      <c r="AO47" s="24"/>
      <c r="AP47" s="24"/>
      <c r="AQ47" s="24"/>
      <c r="AR47" s="24"/>
      <c r="AS47" s="24"/>
      <c r="AT47" s="24"/>
      <c r="AU47" s="24"/>
      <c r="AV47" s="24"/>
      <c r="AW47" s="24"/>
      <c r="AX47" s="24"/>
      <c r="AY47" s="24"/>
      <c r="AZ47" s="24"/>
      <c r="BA47" s="24"/>
      <c r="BB47" s="24"/>
      <c r="BC47" s="24"/>
      <c r="BD47" s="24"/>
      <c r="BE47" s="24"/>
      <c r="BF47" s="24"/>
      <c r="BG47" s="24"/>
      <c r="BH47" s="24"/>
      <c r="BI47" s="24"/>
      <c r="BJ47" s="24"/>
      <c r="BK47" s="24"/>
      <c r="BL47" s="24"/>
      <c r="BM47" s="24"/>
      <c r="BN47" s="24"/>
      <c r="BO47" s="24"/>
      <c r="BP47" s="24"/>
      <c r="BQ47" s="24"/>
      <c r="BR47" s="24"/>
      <c r="BS47" s="24"/>
      <c r="BT47" s="24"/>
      <c r="BU47" s="24"/>
      <c r="BV47" s="24"/>
      <c r="BW47" s="24"/>
      <c r="BX47" s="24"/>
      <c r="BY47" s="24"/>
      <c r="BZ47" s="24"/>
      <c r="CA47" s="24"/>
      <c r="CB47" s="24"/>
      <c r="CC47" s="24"/>
    </row>
    <row r="48" spans="1:81">
      <c r="A48" s="19"/>
      <c r="B48" s="21"/>
      <c r="C48" s="21"/>
      <c r="D48" s="21"/>
      <c r="E48" s="21"/>
      <c r="F48" s="24"/>
      <c r="G48" s="24"/>
      <c r="H48" s="24"/>
      <c r="I48" s="24"/>
      <c r="J48" s="24"/>
      <c r="K48" s="24"/>
      <c r="L48" s="24"/>
      <c r="M48" s="24"/>
      <c r="N48" s="24"/>
      <c r="O48" s="24"/>
      <c r="P48" s="24"/>
      <c r="Q48" s="24"/>
      <c r="R48" s="24"/>
      <c r="S48" s="24"/>
      <c r="T48" s="24"/>
      <c r="U48" s="24"/>
      <c r="V48" s="24"/>
      <c r="W48" s="24"/>
      <c r="X48" s="24"/>
      <c r="Y48" s="24"/>
      <c r="Z48" s="24"/>
      <c r="AA48" s="24"/>
      <c r="AB48" s="24"/>
      <c r="AC48" s="24"/>
      <c r="AD48" s="24"/>
      <c r="AE48" s="24"/>
      <c r="AF48" s="24"/>
      <c r="AG48" s="24"/>
      <c r="AH48" s="24"/>
      <c r="AI48" s="24"/>
      <c r="AJ48" s="24"/>
      <c r="AK48" s="24"/>
      <c r="AL48" s="24"/>
      <c r="AM48" s="24"/>
      <c r="AN48" s="24"/>
      <c r="AO48" s="24"/>
      <c r="AP48" s="24"/>
      <c r="AQ48" s="24"/>
      <c r="AR48" s="24"/>
      <c r="AS48" s="24"/>
      <c r="AT48" s="24"/>
      <c r="AU48" s="24"/>
      <c r="AV48" s="24"/>
      <c r="AW48" s="24"/>
      <c r="AX48" s="24"/>
      <c r="AY48" s="24"/>
      <c r="AZ48" s="24"/>
      <c r="BA48" s="24"/>
      <c r="BB48" s="24"/>
      <c r="BC48" s="24"/>
      <c r="BD48" s="24"/>
      <c r="BE48" s="24"/>
      <c r="BF48" s="24"/>
      <c r="BG48" s="24"/>
      <c r="BH48" s="24"/>
      <c r="BI48" s="24"/>
      <c r="BJ48" s="24"/>
      <c r="BK48" s="24"/>
      <c r="BL48" s="24"/>
      <c r="BM48" s="24"/>
      <c r="BN48" s="24"/>
      <c r="BO48" s="24"/>
      <c r="BP48" s="24"/>
      <c r="BQ48" s="24"/>
      <c r="BR48" s="24"/>
      <c r="BS48" s="24"/>
      <c r="BT48" s="24"/>
      <c r="BU48" s="24"/>
      <c r="BV48" s="24"/>
      <c r="BW48" s="24"/>
      <c r="BX48" s="24"/>
      <c r="BY48" s="24"/>
      <c r="BZ48" s="24"/>
      <c r="CA48" s="24"/>
      <c r="CB48" s="24"/>
      <c r="CC48" s="24"/>
    </row>
    <row r="49" spans="1:82">
      <c r="A49" s="19"/>
      <c r="B49" s="21"/>
      <c r="C49" s="21"/>
      <c r="D49" s="21"/>
      <c r="E49" s="21"/>
      <c r="F49" s="24"/>
      <c r="G49" s="24"/>
      <c r="H49" s="24"/>
      <c r="I49" s="24"/>
      <c r="J49" s="24"/>
      <c r="K49" s="24"/>
      <c r="L49" s="24"/>
      <c r="M49" s="24"/>
      <c r="N49" s="24"/>
      <c r="O49" s="24"/>
      <c r="P49" s="24"/>
      <c r="Q49" s="24"/>
      <c r="R49" s="24"/>
      <c r="S49" s="24"/>
      <c r="T49" s="24"/>
      <c r="U49" s="24"/>
      <c r="V49" s="24"/>
      <c r="W49" s="24"/>
      <c r="X49" s="24"/>
      <c r="Y49" s="24"/>
      <c r="Z49" s="24"/>
      <c r="AA49" s="24"/>
      <c r="AB49" s="24"/>
      <c r="AC49" s="24"/>
      <c r="AD49" s="24"/>
      <c r="AE49" s="24"/>
      <c r="AF49" s="24"/>
      <c r="AG49" s="24"/>
      <c r="AH49" s="24"/>
      <c r="AI49" s="24"/>
      <c r="AJ49" s="24"/>
      <c r="AK49" s="24"/>
      <c r="AL49" s="24"/>
      <c r="AM49" s="24"/>
      <c r="AN49" s="24"/>
      <c r="AO49" s="24"/>
      <c r="AP49" s="24"/>
      <c r="AQ49" s="24"/>
      <c r="AR49" s="24"/>
      <c r="AS49" s="24"/>
      <c r="AT49" s="24"/>
      <c r="AU49" s="24"/>
      <c r="AV49" s="24"/>
      <c r="AW49" s="24"/>
      <c r="AX49" s="24"/>
      <c r="AY49" s="24"/>
      <c r="AZ49" s="24"/>
      <c r="BA49" s="24"/>
      <c r="BB49" s="24"/>
      <c r="BC49" s="24"/>
      <c r="BD49" s="24"/>
      <c r="BE49" s="24"/>
      <c r="BF49" s="24"/>
      <c r="BG49" s="24"/>
      <c r="BH49" s="24"/>
      <c r="BI49" s="24"/>
      <c r="BJ49" s="24"/>
      <c r="BK49" s="24"/>
      <c r="BL49" s="24"/>
      <c r="BM49" s="24"/>
      <c r="BN49" s="24"/>
      <c r="BO49" s="24"/>
      <c r="BP49" s="24"/>
      <c r="BQ49" s="24"/>
      <c r="BR49" s="24"/>
      <c r="BS49" s="24"/>
      <c r="BT49" s="24"/>
      <c r="BU49" s="24"/>
      <c r="BV49" s="24"/>
      <c r="BW49" s="24"/>
      <c r="BX49" s="24"/>
      <c r="BY49" s="24"/>
      <c r="BZ49" s="24"/>
      <c r="CA49" s="24"/>
      <c r="CB49" s="24"/>
      <c r="CC49" s="24"/>
    </row>
    <row r="50" spans="1:82">
      <c r="A50" s="19"/>
      <c r="B50" s="21"/>
      <c r="C50" s="21"/>
      <c r="D50" s="21"/>
      <c r="E50" s="21"/>
      <c r="F50" s="24"/>
      <c r="G50" s="24"/>
      <c r="H50" s="24"/>
      <c r="I50" s="24"/>
      <c r="J50" s="24"/>
      <c r="K50" s="24"/>
      <c r="L50" s="24"/>
      <c r="M50" s="24"/>
      <c r="N50" s="24"/>
      <c r="O50" s="24"/>
      <c r="P50" s="24"/>
      <c r="Q50" s="24"/>
      <c r="R50" s="24"/>
      <c r="S50" s="24"/>
      <c r="T50" s="24"/>
      <c r="U50" s="24"/>
      <c r="V50" s="24"/>
      <c r="W50" s="24"/>
      <c r="X50" s="24"/>
      <c r="Y50" s="24"/>
      <c r="Z50" s="24"/>
      <c r="AA50" s="24"/>
      <c r="AB50" s="24"/>
      <c r="AC50" s="24"/>
      <c r="AD50" s="24"/>
      <c r="AE50" s="24"/>
      <c r="AF50" s="24"/>
      <c r="AG50" s="24"/>
      <c r="AH50" s="24"/>
      <c r="AI50" s="24"/>
      <c r="AJ50" s="24"/>
      <c r="AK50" s="24"/>
      <c r="AL50" s="24"/>
      <c r="AM50" s="24"/>
      <c r="AN50" s="24"/>
      <c r="AO50" s="24"/>
      <c r="AP50" s="24"/>
      <c r="AQ50" s="24"/>
      <c r="AR50" s="24"/>
      <c r="AS50" s="24"/>
      <c r="AT50" s="24"/>
      <c r="AU50" s="24"/>
      <c r="AV50" s="24"/>
      <c r="AW50" s="24"/>
      <c r="AX50" s="24"/>
      <c r="AY50" s="24"/>
      <c r="AZ50" s="24"/>
      <c r="BA50" s="24"/>
      <c r="BB50" s="24"/>
      <c r="BC50" s="24"/>
      <c r="BD50" s="24"/>
      <c r="BE50" s="24"/>
      <c r="BF50" s="24"/>
      <c r="BG50" s="24"/>
      <c r="BH50" s="24"/>
      <c r="BI50" s="24"/>
      <c r="BJ50" s="24"/>
      <c r="BK50" s="24"/>
      <c r="BL50" s="24"/>
      <c r="BM50" s="24"/>
      <c r="BN50" s="24"/>
      <c r="BO50" s="24"/>
      <c r="BP50" s="24"/>
      <c r="BQ50" s="24"/>
      <c r="BR50" s="24"/>
      <c r="BS50" s="24"/>
      <c r="BT50" s="24"/>
      <c r="BU50" s="24"/>
      <c r="BV50" s="24"/>
      <c r="BW50" s="24"/>
      <c r="BX50" s="24"/>
      <c r="BY50" s="24"/>
      <c r="BZ50" s="24"/>
      <c r="CA50" s="24"/>
      <c r="CB50" s="24"/>
      <c r="CC50" s="24"/>
    </row>
    <row r="51" spans="1:82">
      <c r="A51" s="39" t="s">
        <v>28</v>
      </c>
      <c r="B51" s="40"/>
      <c r="C51" s="40"/>
      <c r="D51" s="40"/>
      <c r="E51" s="40"/>
      <c r="F51" s="41" t="s">
        <v>29</v>
      </c>
      <c r="G51" s="40"/>
      <c r="H51" s="40"/>
      <c r="I51" s="40"/>
      <c r="J51" s="40"/>
      <c r="K51" s="40"/>
      <c r="L51" s="40"/>
      <c r="M51" s="40"/>
      <c r="N51" s="40"/>
      <c r="O51" s="40"/>
      <c r="P51" s="40"/>
      <c r="Q51" s="40"/>
      <c r="R51" s="40"/>
      <c r="S51" s="40"/>
      <c r="T51" s="40"/>
      <c r="U51" s="40"/>
      <c r="V51" s="40"/>
      <c r="W51" s="40"/>
      <c r="X51" s="40"/>
      <c r="Y51" s="40"/>
      <c r="Z51" s="40"/>
      <c r="AA51" s="40"/>
      <c r="AB51" s="40"/>
      <c r="AC51" s="40"/>
      <c r="AD51" s="40"/>
      <c r="AE51" s="40"/>
      <c r="AF51" s="40"/>
      <c r="AG51" s="40"/>
      <c r="AH51" s="40"/>
      <c r="AI51" s="40"/>
      <c r="AJ51" s="40"/>
      <c r="AK51" s="40"/>
      <c r="AL51" s="40"/>
      <c r="AM51" s="40"/>
      <c r="AN51" s="40"/>
      <c r="AO51" s="40"/>
      <c r="AP51" s="40"/>
      <c r="AQ51" s="40"/>
      <c r="AR51" s="40"/>
      <c r="AS51" s="40"/>
      <c r="AT51" s="40"/>
      <c r="AU51" s="40"/>
      <c r="AV51" s="40"/>
      <c r="AW51" s="40"/>
      <c r="AX51" s="40"/>
      <c r="AY51" s="40"/>
      <c r="AZ51" s="40"/>
      <c r="BA51" s="40"/>
      <c r="BB51" s="40"/>
      <c r="BC51" s="40"/>
      <c r="BD51" s="40"/>
      <c r="BE51" s="40"/>
      <c r="BF51" s="40"/>
      <c r="BG51" s="40"/>
      <c r="BH51" s="40"/>
      <c r="BI51" s="40"/>
      <c r="BJ51" s="40"/>
      <c r="BK51" s="40"/>
      <c r="BL51" s="40"/>
      <c r="BM51" s="40"/>
      <c r="BN51" s="40"/>
      <c r="BO51" s="40"/>
      <c r="BP51" s="40"/>
      <c r="BQ51" s="40"/>
      <c r="BR51" s="40"/>
      <c r="BS51" s="40"/>
      <c r="BT51" s="40"/>
      <c r="BU51" s="40"/>
      <c r="BV51" s="40"/>
      <c r="BW51" s="40"/>
      <c r="BX51" s="40"/>
      <c r="BY51" s="40"/>
      <c r="BZ51" s="40"/>
      <c r="CA51" s="40"/>
      <c r="CB51" s="40"/>
      <c r="CC51" s="40"/>
      <c r="CD51" s="40"/>
    </row>
    <row r="52" spans="1:82">
      <c r="A52" s="42"/>
    </row>
    <row r="53" spans="1:82">
      <c r="A53" s="42"/>
    </row>
    <row r="54" spans="1:82">
      <c r="A54" s="42"/>
    </row>
    <row r="55" spans="1:82">
      <c r="A55" s="42"/>
    </row>
    <row r="56" spans="1:82">
      <c r="A56" s="42"/>
    </row>
    <row r="57" spans="1:82">
      <c r="A57" s="42"/>
    </row>
    <row r="58" spans="1:82">
      <c r="A58" s="42"/>
    </row>
    <row r="59" spans="1:82">
      <c r="A59" s="42"/>
    </row>
    <row r="60" spans="1:82">
      <c r="A60" s="42"/>
    </row>
    <row r="61" spans="1:82">
      <c r="A61" s="42"/>
    </row>
    <row r="62" spans="1:82">
      <c r="A62" s="42"/>
    </row>
    <row r="63" spans="1:82">
      <c r="A63" s="42"/>
    </row>
    <row r="64" spans="1:82">
      <c r="A64" s="42"/>
    </row>
    <row r="65" spans="1:1">
      <c r="A65" s="42"/>
    </row>
    <row r="66" spans="1:1">
      <c r="A66" s="42"/>
    </row>
    <row r="67" spans="1:1">
      <c r="A67" s="42"/>
    </row>
    <row r="68" spans="1:1">
      <c r="A68" s="42"/>
    </row>
    <row r="69" spans="1:1">
      <c r="A69" s="42"/>
    </row>
    <row r="70" spans="1:1">
      <c r="A70" s="42"/>
    </row>
    <row r="71" spans="1:1">
      <c r="A71" s="42"/>
    </row>
    <row r="72" spans="1:1">
      <c r="A72" s="42"/>
    </row>
    <row r="73" spans="1:1">
      <c r="A73" s="42"/>
    </row>
    <row r="74" spans="1:1">
      <c r="A74" s="42"/>
    </row>
    <row r="75" spans="1:1">
      <c r="A75" s="42"/>
    </row>
    <row r="76" spans="1:1">
      <c r="A76" s="42"/>
    </row>
    <row r="77" spans="1:1">
      <c r="A77" s="42"/>
    </row>
    <row r="78" spans="1:1">
      <c r="A78" s="42"/>
    </row>
    <row r="79" spans="1:1">
      <c r="A79" s="42"/>
    </row>
    <row r="80" spans="1:1">
      <c r="A80" s="42"/>
    </row>
    <row r="81" spans="1:1">
      <c r="A81" s="42"/>
    </row>
    <row r="82" spans="1:1">
      <c r="A82" s="42"/>
    </row>
    <row r="83" spans="1:1">
      <c r="A83" s="42"/>
    </row>
    <row r="84" spans="1:1">
      <c r="A84" s="42"/>
    </row>
    <row r="85" spans="1:1">
      <c r="A85" s="42"/>
    </row>
    <row r="86" spans="1:1">
      <c r="A86" s="42"/>
    </row>
    <row r="87" spans="1:1">
      <c r="A87" s="42"/>
    </row>
    <row r="88" spans="1:1">
      <c r="A88" s="42"/>
    </row>
    <row r="89" spans="1:1">
      <c r="A89" s="42"/>
    </row>
    <row r="90" spans="1:1">
      <c r="A90" s="42"/>
    </row>
    <row r="91" spans="1:1">
      <c r="A91" s="42"/>
    </row>
    <row r="92" spans="1:1">
      <c r="A92" s="42"/>
    </row>
    <row r="93" spans="1:1">
      <c r="A93" s="42"/>
    </row>
    <row r="94" spans="1:1">
      <c r="A94" s="42"/>
    </row>
    <row r="95" spans="1:1">
      <c r="A95" s="42"/>
    </row>
    <row r="96" spans="1:1">
      <c r="A96" s="42"/>
    </row>
    <row r="97" spans="1:1">
      <c r="A97" s="42"/>
    </row>
    <row r="98" spans="1:1">
      <c r="A98" s="42"/>
    </row>
    <row r="99" spans="1:1">
      <c r="A99" s="42"/>
    </row>
    <row r="100" spans="1:1">
      <c r="A100" s="42"/>
    </row>
    <row r="101" spans="1:1">
      <c r="A101" s="42"/>
    </row>
    <row r="102" spans="1:1">
      <c r="A102" s="42"/>
    </row>
    <row r="103" spans="1:1">
      <c r="A103" s="42"/>
    </row>
    <row r="104" spans="1:1">
      <c r="A104" s="42"/>
    </row>
    <row r="105" spans="1:1">
      <c r="A105" s="42"/>
    </row>
    <row r="106" spans="1:1">
      <c r="A106" s="42"/>
    </row>
    <row r="107" spans="1:1">
      <c r="A107" s="42"/>
    </row>
    <row r="108" spans="1:1">
      <c r="A108" s="42"/>
    </row>
    <row r="109" spans="1:1">
      <c r="A109" s="42"/>
    </row>
    <row r="110" spans="1:1">
      <c r="A110" s="42"/>
    </row>
    <row r="111" spans="1:1">
      <c r="A111" s="42"/>
    </row>
    <row r="112" spans="1:1">
      <c r="A112" s="42"/>
    </row>
    <row r="113" spans="1:1">
      <c r="A113" s="42"/>
    </row>
    <row r="114" spans="1:1">
      <c r="A114" s="42"/>
    </row>
    <row r="115" spans="1:1">
      <c r="A115" s="42"/>
    </row>
    <row r="116" spans="1:1">
      <c r="A116" s="42"/>
    </row>
    <row r="117" spans="1:1">
      <c r="A117" s="42"/>
    </row>
    <row r="118" spans="1:1">
      <c r="A118" s="42"/>
    </row>
    <row r="119" spans="1:1">
      <c r="A119" s="42"/>
    </row>
    <row r="120" spans="1:1">
      <c r="A120" s="42"/>
    </row>
    <row r="121" spans="1:1">
      <c r="A121" s="42"/>
    </row>
    <row r="122" spans="1:1">
      <c r="A122" s="42"/>
    </row>
    <row r="123" spans="1:1">
      <c r="A123" s="42"/>
    </row>
    <row r="124" spans="1:1">
      <c r="A124" s="42"/>
    </row>
    <row r="125" spans="1:1">
      <c r="A125" s="42"/>
    </row>
    <row r="126" spans="1:1">
      <c r="A126" s="42"/>
    </row>
    <row r="127" spans="1:1">
      <c r="A127" s="42"/>
    </row>
    <row r="128" spans="1:1">
      <c r="A128" s="42"/>
    </row>
    <row r="129" spans="1:1">
      <c r="A129" s="42"/>
    </row>
    <row r="130" spans="1:1">
      <c r="A130" s="42"/>
    </row>
    <row r="131" spans="1:1">
      <c r="A131" s="42"/>
    </row>
    <row r="132" spans="1:1">
      <c r="A132" s="42"/>
    </row>
    <row r="133" spans="1:1">
      <c r="A133" s="42"/>
    </row>
    <row r="134" spans="1:1">
      <c r="A134" s="42"/>
    </row>
    <row r="135" spans="1:1">
      <c r="A135" s="42"/>
    </row>
    <row r="136" spans="1:1">
      <c r="A136" s="42"/>
    </row>
    <row r="137" spans="1:1">
      <c r="A137" s="42"/>
    </row>
    <row r="138" spans="1:1">
      <c r="A138" s="42"/>
    </row>
    <row r="139" spans="1:1">
      <c r="A139" s="42"/>
    </row>
    <row r="140" spans="1:1">
      <c r="A140" s="42"/>
    </row>
    <row r="141" spans="1:1">
      <c r="A141" s="42"/>
    </row>
    <row r="142" spans="1:1">
      <c r="A142" s="42"/>
    </row>
    <row r="143" spans="1:1">
      <c r="A143" s="42"/>
    </row>
    <row r="144" spans="1:1">
      <c r="A144" s="42"/>
    </row>
    <row r="145" spans="1:1">
      <c r="A145" s="42"/>
    </row>
    <row r="146" spans="1:1">
      <c r="A146" s="42"/>
    </row>
    <row r="147" spans="1:1">
      <c r="A147" s="42"/>
    </row>
    <row r="148" spans="1:1">
      <c r="A148" s="42"/>
    </row>
    <row r="149" spans="1:1">
      <c r="A149" s="42"/>
    </row>
    <row r="150" spans="1:1">
      <c r="A150" s="42"/>
    </row>
    <row r="151" spans="1:1">
      <c r="A151" s="42"/>
    </row>
    <row r="152" spans="1:1">
      <c r="A152" s="42"/>
    </row>
    <row r="153" spans="1:1">
      <c r="A153" s="42"/>
    </row>
    <row r="154" spans="1:1">
      <c r="A154" s="42"/>
    </row>
    <row r="155" spans="1:1">
      <c r="A155" s="42"/>
    </row>
    <row r="156" spans="1:1">
      <c r="A156" s="42"/>
    </row>
    <row r="157" spans="1:1">
      <c r="A157" s="42"/>
    </row>
    <row r="158" spans="1:1">
      <c r="A158" s="42"/>
    </row>
    <row r="159" spans="1:1">
      <c r="A159" s="42"/>
    </row>
    <row r="160" spans="1:1">
      <c r="A160" s="42"/>
    </row>
    <row r="161" spans="1:1">
      <c r="A161" s="42"/>
    </row>
    <row r="162" spans="1:1">
      <c r="A162" s="42"/>
    </row>
    <row r="163" spans="1:1">
      <c r="A163" s="42"/>
    </row>
    <row r="164" spans="1:1">
      <c r="A164" s="42"/>
    </row>
    <row r="165" spans="1:1">
      <c r="A165" s="42"/>
    </row>
    <row r="166" spans="1:1">
      <c r="A166" s="42"/>
    </row>
    <row r="167" spans="1:1">
      <c r="A167" s="42"/>
    </row>
    <row r="168" spans="1:1">
      <c r="A168" s="42"/>
    </row>
    <row r="169" spans="1:1">
      <c r="A169" s="42"/>
    </row>
    <row r="170" spans="1:1">
      <c r="A170" s="42"/>
    </row>
  </sheetData>
  <mergeCells count="10">
    <mergeCell ref="W20:Y21"/>
    <mergeCell ref="C21:E21"/>
    <mergeCell ref="C24:E24"/>
    <mergeCell ref="C27:E27"/>
    <mergeCell ref="G2:I3"/>
    <mergeCell ref="H4:K5"/>
    <mergeCell ref="W4:Y5"/>
    <mergeCell ref="C12:E12"/>
    <mergeCell ref="C15:E15"/>
    <mergeCell ref="C18:E18"/>
  </mergeCells>
  <hyperlinks>
    <hyperlink ref="C15" location="'Data recording'!G2" display="Data recording" xr:uid="{CB499FF1-07EF-4A27-A8A1-C00D91B0DD40}"/>
    <hyperlink ref="C18" location="'Composite scale'!G2" display="Composite scale" xr:uid="{195878D7-1388-471F-9DC6-5BD4ED219DBE}"/>
    <hyperlink ref="C21" location="Visulization!G2" display="Visulization" xr:uid="{190F41CC-A2A3-4C03-9CDF-F128F2560008}"/>
    <hyperlink ref="C24" location="Import!G2" display="Import data" xr:uid="{76649CA1-462D-47BA-9B8C-76BDAF6E8EF9}"/>
    <hyperlink ref="C27" location="Subgroups!G2" display="Subgroups" xr:uid="{4E878FF4-8A0A-4EA8-B8D9-1ABC223780E5}"/>
    <hyperlink ref="B2" location="Help!G2" display="Help" xr:uid="{0B9BBEF3-C0C7-4FA5-AC54-5DF4544F8F96}"/>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Home</vt:lpstr>
      <vt:lpstr>Data Recording</vt:lpstr>
      <vt:lpstr>Composite scale</vt:lpstr>
      <vt:lpstr>Visulization</vt:lpstr>
      <vt:lpstr>Import</vt:lpstr>
      <vt:lpstr>Subgroups</vt:lpstr>
      <vt:lpstr>Result</vt:lpstr>
      <vt:lpstr>IRIS</vt:lpstr>
      <vt:lpstr>Help</vt:lpstr>
      <vt:lpstr>Sample</vt:lpstr>
      <vt:lpstr>Clusters</vt:lpstr>
      <vt:lpstr>InputRange</vt:lpstr>
      <vt:lpstr>InputSheet</vt:lpstr>
      <vt:lpstr>MaxIt</vt:lpstr>
      <vt:lpstr>OutputRange</vt:lpstr>
      <vt:lpstr>OutputSheet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2025-12-23T13:56:19Z</dcterms:modified>
</cp:coreProperties>
</file>